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c93e7905e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KCJA" sheetId="1" r:id="R5f6a0cff8ae04abd"/>
    <x:sheet xmlns:r="http://schemas.openxmlformats.org/officeDocument/2006/relationships" name="01_ZALOZENIA" sheetId="2" r:id="R267fdead01374558"/>
    <x:sheet xmlns:r="http://schemas.openxmlformats.org/officeDocument/2006/relationships" name="02_ZRODLO_MIESIACE" sheetId="3" r:id="R0fc5379cfc184cb4"/>
    <x:sheet xmlns:r="http://schemas.openxmlformats.org/officeDocument/2006/relationships" name="03_ZRODLO_KATEGORIE" sheetId="4" r:id="R062ec6a8773342f1"/>
    <x:sheet xmlns:r="http://schemas.openxmlformats.org/officeDocument/2006/relationships" name="04_ZRODLO_KANALY" sheetId="5" r:id="R5bd2ebcdf8614977"/>
    <x:sheet xmlns:r="http://schemas.openxmlformats.org/officeDocument/2006/relationships" name="05_WYLACZENIA_KONTROLI" sheetId="6" r:id="Rbfeaeef165b44310"/>
    <x:sheet xmlns:r="http://schemas.openxmlformats.org/officeDocument/2006/relationships" name="06_SPRZEDAZ_WYKONANIE" sheetId="7" r:id="Rfa564f3767a44c8d"/>
    <x:sheet xmlns:r="http://schemas.openxmlformats.org/officeDocument/2006/relationships" name="07_KATEGORIE" sheetId="8" r:id="R228eb29c2c1d4792"/>
    <x:sheet xmlns:r="http://schemas.openxmlformats.org/officeDocument/2006/relationships" name="08_KANALY" sheetId="9" r:id="R9d7762264b78439c"/>
    <x:sheet xmlns:r="http://schemas.openxmlformats.org/officeDocument/2006/relationships" name="09_ZWROTY" sheetId="10" r:id="R2f53592efae54a93"/>
    <x:sheet xmlns:r="http://schemas.openxmlformats.org/officeDocument/2006/relationships" name="10_MAGAZYN" sheetId="11" r:id="Rd1205e06122b4f72"/>
    <x:sheet xmlns:r="http://schemas.openxmlformats.org/officeDocument/2006/relationships" name="11_BUDZET_2025" sheetId="12" r:id="R4cc079425f014c1a"/>
    <x:sheet xmlns:r="http://schemas.openxmlformats.org/officeDocument/2006/relationships" name="12_PLAN_2026" sheetId="13" r:id="R98703b61ece44747"/>
    <x:sheet xmlns:r="http://schemas.openxmlformats.org/officeDocument/2006/relationships" name="13_RACHUNEK_WYNIKOW" sheetId="14" r:id="R17c61a4e684a40be"/>
    <x:sheet xmlns:r="http://schemas.openxmlformats.org/officeDocument/2006/relationships" name="14_ODCHYLENIA" sheetId="15" r:id="R52b884d0b4e94d94"/>
    <x:sheet xmlns:r="http://schemas.openxmlformats.org/officeDocument/2006/relationships" name="15_CENA_WOLUMEN_MIKS" sheetId="16" r:id="R4edaf99f9250451c"/>
    <x:sheet xmlns:r="http://schemas.openxmlformats.org/officeDocument/2006/relationships" name="16_ZATRUDNIENIE" sheetId="17" r:id="R8de9e5d7d7f54866"/>
    <x:sheet xmlns:r="http://schemas.openxmlformats.org/officeDocument/2006/relationships" name="17_CAPEX" sheetId="18" r:id="Rda8b36dcacba4d89"/>
    <x:sheet xmlns:r="http://schemas.openxmlformats.org/officeDocument/2006/relationships" name="18_KOSZTY_OPEX" sheetId="19" r:id="R8fab64b1fa2a4a28"/>
    <x:sheet xmlns:r="http://schemas.openxmlformats.org/officeDocument/2006/relationships" name="19_KAPITAL_OBROTOWY" sheetId="20" r:id="Rdf437c12cdf7496f"/>
    <x:sheet xmlns:r="http://schemas.openxmlformats.org/officeDocument/2006/relationships" name="20_PRZEPLYWY_PIENIEZNE" sheetId="21" r:id="R95c89faf44d04766"/>
    <x:sheet xmlns:r="http://schemas.openxmlformats.org/officeDocument/2006/relationships" name="21_PROG_RENTOWNOSCI" sheetId="22" r:id="Rd9c2dc0fee2e4223"/>
    <x:sheet xmlns:r="http://schemas.openxmlformats.org/officeDocument/2006/relationships" name="22_SCENARIUSZE" sheetId="23" r:id="R8b584eae23854e5f"/>
    <x:sheet xmlns:r="http://schemas.openxmlformats.org/officeDocument/2006/relationships" name="23_PANEL_ZARZADCZY" sheetId="24" r:id="R87161ce35aa74f9c"/>
    <x:sheet xmlns:r="http://schemas.openxmlformats.org/officeDocument/2006/relationships" name="24_KONTROLE_MODELU" sheetId="25" r:id="R471be425e66c48ad"/>
    <x:sheet xmlns:r="http://schemas.openxmlformats.org/officeDocument/2006/relationships" name="25_ZRODLA_I_WNIOSKI" sheetId="26" r:id="Rb670ee8a5986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;[Red](0.0%);-"/>
    <x:numFmt numFmtId="201" formatCode="#,##0.00 &quot;PLN&quot;;[Red](#,##0.00 &quot;PLN&quot;);-"/>
    <x:numFmt numFmtId="202" formatCode="yyyy-mm"/>
    <x:numFmt numFmtId="203" formatCode="#,##0;[Red](#,##0);-"/>
    <x:numFmt numFmtId="204" formatCode="yyyy-mm-dd"/>
    <x:numFmt numFmtId="205" formatCode="0.00"/>
    <x:numFmt numFmtId="206" formatCode="mmm"/>
    <x:numFmt numFmtId="207" formatCode="0"/>
    <x:numFmt numFmtId="208" formatCode="0.00 &quot;PLN&quot;"/>
  </x:numFmts>
  <x:fonts count="17">
    <x:font>
      <x:sz val="11"/>
      <x:name val="Carlito"/>
    </x:font>
    <x:font>
      <x:b/>
      <x:sz val="18"/>
      <x:color rgb="FFFFFFFF"/>
      <x:name val="Calibri"/>
    </x:font>
    <x:font>
      <x:i/>
      <x:sz val="10"/>
      <x:color rgb="FF0B5A73"/>
      <x:name val="Calibri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sz val="10"/>
      <x:color rgb="FF000000"/>
      <x:name val="Calibri"/>
    </x:font>
    <x:font>
      <x:i/>
      <x:sz val="9"/>
      <x:color rgb="FF0B5A73"/>
      <x:name val="Calibri"/>
    </x:font>
    <x:font>
      <x:b/>
      <x:sz val="16"/>
      <x:color rgb="FFFFFFFF"/>
      <x:name val="Calibri"/>
    </x:font>
    <x:font>
      <x:sz val="10"/>
      <x:color rgb="FF0000FF"/>
      <x:name val="Calibri"/>
    </x:font>
    <x:font>
      <x:b/>
      <x:sz val="16"/>
      <x:color rgb="FFFFFFFF"/>
      <x:name val="Carlito"/>
    </x:font>
    <x:font>
      <x:b/>
      <x:sz val="10"/>
      <x:color rgb="FF0B5A73"/>
      <x:name val="Calibri"/>
    </x:font>
    <x:font>
      <x:b/>
      <x:sz val="18"/>
      <x:color rgb="FF0B5A73"/>
      <x:name val="Calibri"/>
    </x:font>
    <x:font>
      <x:sz val="11"/>
      <x:color rgb="FF008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B5A73"/>
      </x:patternFill>
    </x:fill>
    <x:fill>
      <x:patternFill patternType="solid">
        <x:fgColor rgb="FFD9EFF8"/>
      </x:patternFill>
    </x:fill>
    <x:fill>
      <x:patternFill patternType="solid">
        <x:fgColor rgb="FF0E7490"/>
      </x:patternFill>
    </x:fill>
    <x:fill>
      <x:patternFill patternType="solid">
        <x:fgColor rgb="FFEFF8FC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F28E2B"/>
      </x:patternFill>
    </x:fill>
    <x:fill>
      <x:patternFill patternType="solid">
        <x:fgColor rgb="FFEAF5FA"/>
      </x:patternFill>
    </x:fill>
    <x:fill>
      <x:patternFill patternType="solid">
        <x:fgColor rgb="FFD7EEF7"/>
      </x:patternFill>
    </x:fill>
    <x:fill>
      <x:patternFill patternType="solid">
        <x:fgColor rgb="FFE2F0D9"/>
      </x:patternFill>
    </x:fill>
  </x:fills>
  <x:borders count="1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D7E8"/>
      </x:left>
      <x:right style="thin">
        <x:color rgb="FFB7D7E8"/>
      </x:right>
      <x:top style="thin">
        <x:color rgb="FFB7D7E8"/>
      </x:top>
      <x:bottom style="thin">
        <x:color rgb="FFB7D7E8"/>
      </x:bottom>
    </x:border>
    <x:border>
      <x:left style="thin">
        <x:color rgb="FF0B5A73"/>
      </x:left>
      <x:top style="thin">
        <x:color rgb="FF0B5A73"/>
      </x:top>
      <x:bottom style="thin">
        <x:color rgb="FF0B5A73"/>
      </x:bottom>
    </x:border>
    <x:border>
      <x:top style="thin">
        <x:color rgb="FF0B5A73"/>
      </x:top>
      <x:bottom style="thin">
        <x:color rgb="FF0B5A73"/>
      </x:bottom>
    </x:border>
    <x:border>
      <x:right style="thin">
        <x:color rgb="FF0B5A73"/>
      </x:right>
      <x:top style="thin">
        <x:color rgb="FF0B5A73"/>
      </x:top>
      <x:bottom style="thin">
        <x:color rgb="FF0B5A73"/>
      </x:bottom>
    </x:border>
    <x:border>
      <x:top style="double">
        <x:color rgb="FF0B5A73"/>
      </x:top>
      <x:bottom style="thin">
        <x:color rgb="FF0B5A73"/>
      </x:bottom>
    </x:border>
    <x:border>
      <x:top style="double">
        <x:color rgb="FF0B5A73"/>
      </x:top>
    </x:border>
    <x:border>
      <x:bottom style="thin">
        <x:color rgb="FF0B5A73"/>
      </x:bottom>
    </x:border>
    <x:border>
      <x:left style="thin">
        <x:color rgb="FF0B5A73"/>
      </x:left>
      <x:top style="thin">
        <x:color rgb="FF0B5A73"/>
      </x:top>
    </x:border>
    <x:border>
      <x:top style="thin">
        <x:color rgb="FF0B5A73"/>
      </x:top>
    </x:border>
    <x:border>
      <x:right style="thin">
        <x:color rgb="FF0B5A73"/>
      </x:right>
      <x:top style="thin">
        <x:color rgb="FF0B5A73"/>
      </x:top>
    </x:border>
    <x:border>
      <x:left style="thin">
        <x:color rgb="FF0B5A73"/>
      </x:left>
    </x:border>
    <x:border>
      <x:right style="thin">
        <x:color rgb="FF0B5A73"/>
      </x:right>
    </x:border>
    <x:border>
      <x:left style="thin">
        <x:color rgb="FF0B5A73"/>
      </x:left>
      <x:bottom style="thin">
        <x:color rgb="FF0B5A73"/>
      </x:bottom>
    </x:border>
    <x:border>
      <x:right style="thin">
        <x:color rgb="FF0B5A73"/>
      </x:right>
      <x:bottom style="thin">
        <x:color rgb="FF0B5A73"/>
      </x:bottom>
    </x:border>
    <x:border>
      <x:left style="thin">
        <x:color rgb="FFB7DDE8"/>
      </x:left>
      <x:right style="thin">
        <x:color rgb="FFB7DDE8"/>
      </x:right>
      <x:top style="thin">
        <x:color rgb="FFB7DDE8"/>
      </x:top>
      <x:bottom style="thin">
        <x:color rgb="FFB7DDE8"/>
      </x:bottom>
    </x:border>
  </x:borders>
  <x:cellStyleXfs count="1">
    <x:xf numFmtId="0" fontId="0" fillId="0" borderId="0"/>
  </x:cellStyleXfs>
  <x:cellXfs count="2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2" xfId="0" applyNumberFormat="1" applyFont="1" applyFill="1" applyBorder="1" applyAlignment="1">
      <x:alignment vertical="center"/>
    </x:xf>
    <x:xf numFmtId="0" fontId="9" fillId="5" borderId="2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4" xfId="0" applyNumberFormat="1" applyFont="1" applyFill="1" applyBorder="1"/>
    <x:xf numFmtId="0" fontId="10" fillId="6" borderId="5" xfId="0" applyNumberFormat="1" applyFont="1" applyFill="1" applyBorder="1"/>
    <x:xf numFmtId="0" fontId="10" fillId="6" borderId="3" xfId="0" applyNumberFormat="1" applyFont="1" applyFill="1" applyBorder="1" applyAlignment="1">
      <x:alignment wrapText="1"/>
    </x:xf>
    <x:xf numFmtId="0" fontId="10" fillId="6" borderId="4" xfId="0" applyNumberFormat="1" applyFont="1" applyFill="1" applyBorder="1" applyAlignment="1">
      <x:alignment wrapText="1"/>
    </x:xf>
    <x:xf numFmtId="0" fontId="10" fillId="6" borderId="5" xfId="0" applyNumberFormat="1" applyFont="1" applyFill="1" applyBorder="1" applyAlignment="1">
      <x:alignment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/>
    <x:xf numFmtId="0" fontId="12" fillId="5" borderId="2" xfId="0" applyNumberFormat="1" applyFont="1" applyFill="1" applyBorder="1" applyAlignment="1">
      <x:alignment vertical="center"/>
    </x:xf>
    <x:xf numFmtId="0" fontId="12" fillId="3" borderId="2" xfId="0" applyNumberFormat="1" applyFont="1" applyFill="1" applyBorder="1" applyAlignment="1">
      <x:alignment vertical="center"/>
    </x:xf>
    <x:xf numFmtId="200" fontId="12" fillId="5" borderId="2" xfId="0" applyNumberFormat="1" applyFont="1" applyFill="1" applyBorder="1" applyAlignment="1">
      <x:alignment vertical="center"/>
    </x:xf>
    <x:xf numFmtId="200" fontId="9" fillId="5" borderId="2" xfId="0" applyNumberFormat="1" applyFont="1" applyFill="1" applyBorder="1" applyAlignment="1">
      <x:alignment vertical="center"/>
    </x:xf>
    <x:xf numFmtId="200" fontId="12" fillId="3" borderId="2" xfId="0" applyNumberFormat="1" applyFont="1" applyFill="1" applyBorder="1" applyAlignment="1">
      <x:alignment vertical="center"/>
    </x:xf>
    <x:xf numFmtId="200" fontId="9" fillId="3" borderId="2" xfId="0" applyNumberFormat="1" applyFont="1" applyFill="1" applyBorder="1" applyAlignment="1">
      <x:alignment vertical="center"/>
    </x:xf>
    <x:xf numFmtId="201" fontId="12" fillId="3" borderId="2" xfId="0" applyNumberFormat="1" applyFont="1" applyFill="1" applyBorder="1" applyAlignment="1">
      <x:alignment vertical="center"/>
    </x:xf>
    <x:xf numFmtId="201" fontId="9" fillId="3" borderId="2" xfId="0" applyNumberFormat="1" applyFont="1" applyFill="1" applyBorder="1" applyAlignment="1">
      <x:alignment vertical="center"/>
    </x:xf>
    <x:xf numFmtId="201" fontId="12" fillId="5" borderId="2" xfId="0" applyNumberFormat="1" applyFont="1" applyFill="1" applyBorder="1" applyAlignment="1">
      <x:alignment vertical="center"/>
    </x:xf>
    <x:xf numFmtId="201" fontId="9" fillId="5" borderId="2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/>
    <x:xf numFmtId="0" fontId="9" fillId="6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6" xfId="0" applyNumberFormat="1" applyFont="1" applyFill="1" applyBorder="1"/>
    <x:xf numFmtId="202" fontId="9" fillId="5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  <x:xf numFmtId="201" fontId="9" fillId="6" borderId="2" xfId="0" applyNumberFormat="1" applyFont="1" applyFill="1" applyBorder="1" applyAlignment="1">
      <x:alignment vertical="center"/>
    </x:xf>
    <x:xf numFmtId="201" fontId="14" fillId="7" borderId="6" xfId="0" applyNumberFormat="1" applyFont="1" applyFill="1" applyBorder="1"/>
    <x:xf numFmtId="200" fontId="9" fillId="6" borderId="2" xfId="0" applyNumberFormat="1" applyFont="1" applyFill="1" applyBorder="1" applyAlignment="1">
      <x:alignment vertical="center"/>
    </x:xf>
    <x:xf numFmtId="200" fontId="14" fillId="7" borderId="6" xfId="0" applyNumberFormat="1" applyFont="1" applyFill="1" applyBorder="1"/>
    <x:xf numFmtId="203" fontId="9" fillId="5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  <x:xf numFmtId="203" fontId="14" fillId="7" borderId="6" xfId="0" applyNumberFormat="1" applyFont="1" applyFill="1" applyBorder="1"/>
    <x:xf numFmtId="204" fontId="9" fillId="5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  <x:xf numFmtId="204" fontId="9" fillId="5" borderId="2" xfId="0" applyNumberFormat="1" applyFont="1" applyFill="1" applyBorder="1" applyAlignment="1">
      <x:alignment vertical="center" wrapText="1"/>
    </x:xf>
    <x:xf numFmtId="203" fontId="9" fillId="5" borderId="2" xfId="0" applyNumberFormat="1" applyFont="1" applyFill="1" applyBorder="1" applyAlignment="1">
      <x:alignment vertical="center" wrapText="1"/>
    </x:xf>
    <x:xf numFmtId="201" fontId="9" fillId="5" borderId="2" xfId="0" applyNumberFormat="1" applyFont="1" applyFill="1" applyBorder="1" applyAlignment="1">
      <x:alignment vertical="center" wrapText="1"/>
    </x:xf>
    <x:xf numFmtId="200" fontId="9" fillId="5" borderId="2" xfId="0" applyNumberFormat="1" applyFont="1" applyFill="1" applyBorder="1" applyAlignment="1">
      <x:alignment vertical="center" wrapText="1"/>
    </x:xf>
    <x:xf numFmtId="204" fontId="9" fillId="3" borderId="2" xfId="0" applyNumberFormat="1" applyFont="1" applyFill="1" applyBorder="1" applyAlignment="1">
      <x:alignment vertical="center" wrapText="1"/>
    </x:xf>
    <x:xf numFmtId="203" fontId="9" fillId="3" borderId="2" xfId="0" applyNumberFormat="1" applyFont="1" applyFill="1" applyBorder="1" applyAlignment="1">
      <x:alignment vertical="center" wrapText="1"/>
    </x:xf>
    <x:xf numFmtId="201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vertical="center" wrapText="1"/>
    </x:xf>
    <x:xf numFmtId="205" fontId="9" fillId="5" borderId="2" xfId="0" applyNumberFormat="1" applyFont="1" applyFill="1" applyBorder="1" applyAlignment="1">
      <x:alignment vertical="center"/>
    </x:xf>
    <x:xf numFmtId="205" fontId="9" fillId="3" borderId="2" xfId="0" applyNumberFormat="1" applyFont="1" applyFill="1" applyBorder="1" applyAlignment="1">
      <x:alignment vertical="center"/>
    </x:xf>
    <x:xf numFmtId="206" fontId="8" fillId="2" borderId="1" xfId="0" applyNumberFormat="1" applyFont="1" applyFill="1" applyBorder="1" applyAlignment="1">
      <x:alignment horizontal="center" vertical="center" wrapText="1"/>
    </x:xf>
    <x:xf numFmtId="0" fontId="14" fillId="7" borderId="7" xfId="0" applyNumberFormat="1" applyFont="1" applyFill="1" applyBorder="1"/>
    <x:xf numFmtId="0" fontId="14" fillId="7" borderId="8" xfId="0" applyNumberFormat="1" applyFont="1" applyFill="1" applyBorder="1"/>
    <x:xf numFmtId="201" fontId="14" fillId="7" borderId="7" xfId="0" applyNumberFormat="1" applyFont="1" applyFill="1" applyBorder="1"/>
    <x:xf numFmtId="201" fontId="14" fillId="7" borderId="8" xfId="0" applyNumberFormat="1" applyFont="1" applyFill="1" applyBorder="1"/>
    <x:xf numFmtId="0" fontId="9" fillId="7" borderId="2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14" fillId="5" borderId="2" xfId="0" applyNumberFormat="1" applyFont="1" applyFill="1" applyBorder="1" applyAlignment="1">
      <x:alignment vertical="center"/>
    </x:xf>
    <x:xf numFmtId="0" fontId="14" fillId="3" borderId="2" xfId="0" applyNumberFormat="1" applyFont="1" applyFill="1" applyBorder="1" applyAlignment="1">
      <x:alignment vertical="center"/>
    </x:xf>
    <x:xf numFmtId="0" fontId="14" fillId="7" borderId="2" xfId="0" applyNumberFormat="1" applyFont="1" applyFill="1" applyBorder="1" applyAlignment="1">
      <x:alignment vertical="center"/>
    </x:xf>
    <x:xf numFmtId="0" fontId="14" fillId="8" borderId="2" xfId="0" applyNumberFormat="1" applyFont="1" applyFill="1" applyBorder="1" applyAlignment="1">
      <x:alignment vertical="center"/>
    </x:xf>
    <x:xf numFmtId="201" fontId="9" fillId="7" borderId="2" xfId="0" applyNumberFormat="1" applyFont="1" applyFill="1" applyBorder="1" applyAlignment="1">
      <x:alignment vertical="center"/>
    </x:xf>
    <x:xf numFmtId="200" fontId="9" fillId="7" borderId="2" xfId="0" applyNumberFormat="1" applyFont="1" applyFill="1" applyBorder="1" applyAlignment="1">
      <x:alignment vertical="center"/>
    </x:xf>
    <x:xf numFmtId="201" fontId="9" fillId="8" borderId="2" xfId="0" applyNumberFormat="1" applyFont="1" applyFill="1" applyBorder="1" applyAlignment="1">
      <x:alignment vertical="center"/>
    </x:xf>
    <x:xf numFmtId="0" fontId="9" fillId="7" borderId="2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3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3" xfId="0" applyNumberFormat="1" applyFont="1" applyFill="1" applyBorder="1" applyAlignment="1">
      <x:alignment wrapText="1"/>
    </x:xf>
    <x:xf numFmtId="0" fontId="10" fillId="5" borderId="4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vertical="center"/>
    </x:xf>
    <x:xf numFmtId="201" fontId="9" fillId="9" borderId="2" xfId="0" applyNumberFormat="1" applyFont="1" applyFill="1" applyBorder="1" applyAlignment="1">
      <x:alignment vertical="center"/>
    </x:xf>
    <x:xf numFmtId="200" fontId="9" fillId="8" borderId="2" xfId="0" applyNumberFormat="1" applyFont="1" applyFill="1" applyBorder="1" applyAlignment="1">
      <x:alignment vertical="center"/>
    </x:xf>
    <x:xf numFmtId="200" fontId="8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9" fillId="5" borderId="0" xfId="0" applyNumberFormat="1" applyFont="1" applyFill="1" applyBorder="1"/>
    <x:xf numFmtId="200" fontId="9" fillId="5" borderId="2" xfId="0" applyNumberFormat="1" applyFont="1" applyFill="1" applyBorder="1"/>
    <x:xf numFmtId="200" fontId="0" fillId="3" borderId="0" xfId="0" applyNumberFormat="1" applyFont="1" applyFill="1" applyBorder="1"/>
    <x:xf numFmtId="200" fontId="9" fillId="3" borderId="0" xfId="0" applyNumberFormat="1" applyFont="1" applyFill="1" applyBorder="1"/>
    <x:xf numFmtId="200" fontId="9" fillId="3" borderId="2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/>
    <x:xf numFmtId="0" fontId="15" fillId="5" borderId="9" xfId="0" applyNumberFormat="1" applyFont="1" applyFill="1" applyBorder="1"/>
    <x:xf numFmtId="0" fontId="15" fillId="5" borderId="10" xfId="0" applyNumberFormat="1" applyFont="1" applyFill="1" applyBorder="1"/>
    <x:xf numFmtId="0" fontId="15" fillId="5" borderId="11" xfId="0" applyNumberFormat="1" applyFont="1" applyFill="1" applyBorder="1"/>
    <x:xf numFmtId="0" fontId="15" fillId="5" borderId="12" xfId="0" applyNumberFormat="1" applyFont="1" applyFill="1" applyBorder="1"/>
    <x:xf numFmtId="0" fontId="15" fillId="5" borderId="13" xfId="0" applyNumberFormat="1" applyFont="1" applyFill="1" applyBorder="1"/>
    <x:xf numFmtId="0" fontId="15" fillId="5" borderId="14" xfId="0" applyNumberFormat="1" applyFont="1" applyFill="1" applyBorder="1"/>
    <x:xf numFmtId="0" fontId="15" fillId="5" borderId="8" xfId="0" applyNumberFormat="1" applyFont="1" applyFill="1" applyBorder="1"/>
    <x:xf numFmtId="0" fontId="15" fillId="5" borderId="15" xfId="0" applyNumberFormat="1" applyFont="1" applyFill="1" applyBorder="1"/>
    <x:xf numFmtId="201" fontId="15" fillId="5" borderId="9" xfId="0" applyNumberFormat="1" applyFont="1" applyFill="1" applyBorder="1"/>
    <x:xf numFmtId="201" fontId="15" fillId="5" borderId="10" xfId="0" applyNumberFormat="1" applyFont="1" applyFill="1" applyBorder="1"/>
    <x:xf numFmtId="201" fontId="15" fillId="5" borderId="11" xfId="0" applyNumberFormat="1" applyFont="1" applyFill="1" applyBorder="1"/>
    <x:xf numFmtId="201" fontId="15" fillId="5" borderId="12" xfId="0" applyNumberFormat="1" applyFont="1" applyFill="1" applyBorder="1"/>
    <x:xf numFmtId="201" fontId="15" fillId="5" borderId="0" xfId="0" applyNumberFormat="1" applyFont="1" applyFill="1" applyBorder="1"/>
    <x:xf numFmtId="201" fontId="15" fillId="5" borderId="13" xfId="0" applyNumberFormat="1" applyFont="1" applyFill="1" applyBorder="1"/>
    <x:xf numFmtId="201" fontId="15" fillId="5" borderId="14" xfId="0" applyNumberFormat="1" applyFont="1" applyFill="1" applyBorder="1"/>
    <x:xf numFmtId="201" fontId="15" fillId="5" borderId="8" xfId="0" applyNumberFormat="1" applyFont="1" applyFill="1" applyBorder="1"/>
    <x:xf numFmtId="201" fontId="15" fillId="5" borderId="15" xfId="0" applyNumberFormat="1" applyFont="1" applyFill="1" applyBorder="1"/>
    <x:xf numFmtId="201" fontId="15" fillId="5" borderId="9" xfId="0" applyNumberFormat="1" applyFont="1" applyFill="1" applyBorder="1" applyAlignment="1">
      <x:alignment horizontal="center"/>
    </x:xf>
    <x:xf numFmtId="201" fontId="15" fillId="5" borderId="10" xfId="0" applyNumberFormat="1" applyFont="1" applyFill="1" applyBorder="1" applyAlignment="1">
      <x:alignment horizontal="center"/>
    </x:xf>
    <x:xf numFmtId="201" fontId="15" fillId="5" borderId="11" xfId="0" applyNumberFormat="1" applyFont="1" applyFill="1" applyBorder="1" applyAlignment="1">
      <x:alignment horizontal="center"/>
    </x:xf>
    <x:xf numFmtId="201" fontId="15" fillId="5" borderId="12" xfId="0" applyNumberFormat="1" applyFont="1" applyFill="1" applyBorder="1" applyAlignment="1">
      <x:alignment horizontal="center"/>
    </x:xf>
    <x:xf numFmtId="201" fontId="15" fillId="5" borderId="0" xfId="0" applyNumberFormat="1" applyFont="1" applyFill="1" applyBorder="1" applyAlignment="1">
      <x:alignment horizontal="center"/>
    </x:xf>
    <x:xf numFmtId="201" fontId="15" fillId="5" borderId="13" xfId="0" applyNumberFormat="1" applyFont="1" applyFill="1" applyBorder="1" applyAlignment="1">
      <x:alignment horizontal="center"/>
    </x:xf>
    <x:xf numFmtId="201" fontId="15" fillId="5" borderId="14" xfId="0" applyNumberFormat="1" applyFont="1" applyFill="1" applyBorder="1" applyAlignment="1">
      <x:alignment horizontal="center"/>
    </x:xf>
    <x:xf numFmtId="201" fontId="15" fillId="5" borderId="8" xfId="0" applyNumberFormat="1" applyFont="1" applyFill="1" applyBorder="1" applyAlignment="1">
      <x:alignment horizontal="center"/>
    </x:xf>
    <x:xf numFmtId="201" fontId="15" fillId="5" borderId="15" xfId="0" applyNumberFormat="1" applyFont="1" applyFill="1" applyBorder="1" applyAlignment="1">
      <x:alignment horizontal="center"/>
    </x:xf>
    <x:xf numFmtId="201" fontId="15" fillId="5" borderId="9" xfId="0" applyNumberFormat="1" applyFont="1" applyFill="1" applyBorder="1" applyAlignment="1">
      <x:alignment horizontal="center" vertical="center"/>
    </x:xf>
    <x:xf numFmtId="201" fontId="15" fillId="5" borderId="10" xfId="0" applyNumberFormat="1" applyFont="1" applyFill="1" applyBorder="1" applyAlignment="1">
      <x:alignment horizontal="center" vertical="center"/>
    </x:xf>
    <x:xf numFmtId="201" fontId="15" fillId="5" borderId="11" xfId="0" applyNumberFormat="1" applyFont="1" applyFill="1" applyBorder="1" applyAlignment="1">
      <x:alignment horizontal="center" vertical="center"/>
    </x:xf>
    <x:xf numFmtId="201" fontId="15" fillId="5" borderId="12" xfId="0" applyNumberFormat="1" applyFont="1" applyFill="1" applyBorder="1" applyAlignment="1">
      <x:alignment horizontal="center" vertical="center"/>
    </x:xf>
    <x:xf numFmtId="201" fontId="15" fillId="5" borderId="0" xfId="0" applyNumberFormat="1" applyFont="1" applyFill="1" applyBorder="1" applyAlignment="1">
      <x:alignment horizontal="center" vertical="center"/>
    </x:xf>
    <x:xf numFmtId="201" fontId="15" fillId="5" borderId="13" xfId="0" applyNumberFormat="1" applyFont="1" applyFill="1" applyBorder="1" applyAlignment="1">
      <x:alignment horizontal="center" vertical="center"/>
    </x:xf>
    <x:xf numFmtId="201" fontId="15" fillId="5" borderId="14" xfId="0" applyNumberFormat="1" applyFont="1" applyFill="1" applyBorder="1" applyAlignment="1">
      <x:alignment horizontal="center" vertical="center"/>
    </x:xf>
    <x:xf numFmtId="201" fontId="15" fillId="5" borderId="8" xfId="0" applyNumberFormat="1" applyFont="1" applyFill="1" applyBorder="1" applyAlignment="1">
      <x:alignment horizontal="center" vertical="center"/>
    </x:xf>
    <x:xf numFmtId="201" fontId="15" fillId="5" borderId="15" xfId="0" applyNumberFormat="1" applyFont="1" applyFill="1" applyBorder="1" applyAlignment="1">
      <x:alignment horizontal="center" vertical="center"/>
    </x:xf>
    <x:xf numFmtId="200" fontId="15" fillId="5" borderId="9" xfId="0" applyNumberFormat="1" applyFont="1" applyFill="1" applyBorder="1"/>
    <x:xf numFmtId="200" fontId="15" fillId="5" borderId="10" xfId="0" applyNumberFormat="1" applyFont="1" applyFill="1" applyBorder="1"/>
    <x:xf numFmtId="200" fontId="15" fillId="5" borderId="11" xfId="0" applyNumberFormat="1" applyFont="1" applyFill="1" applyBorder="1"/>
    <x:xf numFmtId="200" fontId="15" fillId="5" borderId="12" xfId="0" applyNumberFormat="1" applyFont="1" applyFill="1" applyBorder="1"/>
    <x:xf numFmtId="200" fontId="15" fillId="5" borderId="0" xfId="0" applyNumberFormat="1" applyFont="1" applyFill="1" applyBorder="1"/>
    <x:xf numFmtId="200" fontId="15" fillId="5" borderId="13" xfId="0" applyNumberFormat="1" applyFont="1" applyFill="1" applyBorder="1"/>
    <x:xf numFmtId="200" fontId="15" fillId="5" borderId="14" xfId="0" applyNumberFormat="1" applyFont="1" applyFill="1" applyBorder="1"/>
    <x:xf numFmtId="200" fontId="15" fillId="5" borderId="8" xfId="0" applyNumberFormat="1" applyFont="1" applyFill="1" applyBorder="1"/>
    <x:xf numFmtId="200" fontId="15" fillId="5" borderId="15" xfId="0" applyNumberFormat="1" applyFont="1" applyFill="1" applyBorder="1"/>
    <x:xf numFmtId="200" fontId="15" fillId="5" borderId="9" xfId="0" applyNumberFormat="1" applyFont="1" applyFill="1" applyBorder="1" applyAlignment="1">
      <x:alignment horizontal="center"/>
    </x:xf>
    <x:xf numFmtId="200" fontId="15" fillId="5" borderId="10" xfId="0" applyNumberFormat="1" applyFont="1" applyFill="1" applyBorder="1" applyAlignment="1">
      <x:alignment horizontal="center"/>
    </x:xf>
    <x:xf numFmtId="200" fontId="15" fillId="5" borderId="11" xfId="0" applyNumberFormat="1" applyFont="1" applyFill="1" applyBorder="1" applyAlignment="1">
      <x:alignment horizontal="center"/>
    </x:xf>
    <x:xf numFmtId="200" fontId="15" fillId="5" borderId="12" xfId="0" applyNumberFormat="1" applyFont="1" applyFill="1" applyBorder="1" applyAlignment="1">
      <x:alignment horizontal="center"/>
    </x:xf>
    <x:xf numFmtId="200" fontId="15" fillId="5" borderId="0" xfId="0" applyNumberFormat="1" applyFont="1" applyFill="1" applyBorder="1" applyAlignment="1">
      <x:alignment horizontal="center"/>
    </x:xf>
    <x:xf numFmtId="200" fontId="15" fillId="5" borderId="13" xfId="0" applyNumberFormat="1" applyFont="1" applyFill="1" applyBorder="1" applyAlignment="1">
      <x:alignment horizontal="center"/>
    </x:xf>
    <x:xf numFmtId="200" fontId="15" fillId="5" borderId="14" xfId="0" applyNumberFormat="1" applyFont="1" applyFill="1" applyBorder="1" applyAlignment="1">
      <x:alignment horizontal="center"/>
    </x:xf>
    <x:xf numFmtId="200" fontId="15" fillId="5" borderId="8" xfId="0" applyNumberFormat="1" applyFont="1" applyFill="1" applyBorder="1" applyAlignment="1">
      <x:alignment horizontal="center"/>
    </x:xf>
    <x:xf numFmtId="200" fontId="15" fillId="5" borderId="15" xfId="0" applyNumberFormat="1" applyFont="1" applyFill="1" applyBorder="1" applyAlignment="1">
      <x:alignment horizontal="center"/>
    </x:xf>
    <x:xf numFmtId="200" fontId="15" fillId="5" borderId="9" xfId="0" applyNumberFormat="1" applyFont="1" applyFill="1" applyBorder="1" applyAlignment="1">
      <x:alignment horizontal="center" vertical="center"/>
    </x:xf>
    <x:xf numFmtId="200" fontId="15" fillId="5" borderId="10" xfId="0" applyNumberFormat="1" applyFont="1" applyFill="1" applyBorder="1" applyAlignment="1">
      <x:alignment horizontal="center" vertical="center"/>
    </x:xf>
    <x:xf numFmtId="200" fontId="15" fillId="5" borderId="11" xfId="0" applyNumberFormat="1" applyFont="1" applyFill="1" applyBorder="1" applyAlignment="1">
      <x:alignment horizontal="center" vertical="center"/>
    </x:xf>
    <x:xf numFmtId="200" fontId="15" fillId="5" borderId="12" xfId="0" applyNumberFormat="1" applyFont="1" applyFill="1" applyBorder="1" applyAlignment="1">
      <x:alignment horizontal="center" vertical="center"/>
    </x:xf>
    <x:xf numFmtId="200" fontId="15" fillId="5" borderId="0" xfId="0" applyNumberFormat="1" applyFont="1" applyFill="1" applyBorder="1" applyAlignment="1">
      <x:alignment horizontal="center" vertical="center"/>
    </x:xf>
    <x:xf numFmtId="200" fontId="15" fillId="5" borderId="13" xfId="0" applyNumberFormat="1" applyFont="1" applyFill="1" applyBorder="1" applyAlignment="1">
      <x:alignment horizontal="center" vertical="center"/>
    </x:xf>
    <x:xf numFmtId="200" fontId="15" fillId="5" borderId="14" xfId="0" applyNumberFormat="1" applyFont="1" applyFill="1" applyBorder="1" applyAlignment="1">
      <x:alignment horizontal="center" vertical="center"/>
    </x:xf>
    <x:xf numFmtId="200" fontId="15" fillId="5" borderId="8" xfId="0" applyNumberFormat="1" applyFont="1" applyFill="1" applyBorder="1" applyAlignment="1">
      <x:alignment horizontal="center" vertical="center"/>
    </x:xf>
    <x:xf numFmtId="200" fontId="15" fillId="5" borderId="15" xfId="0" applyNumberFormat="1" applyFont="1" applyFill="1" applyBorder="1" applyAlignment="1">
      <x:alignment horizontal="center" vertical="center"/>
    </x:xf>
    <x:xf numFmtId="207" fontId="15" fillId="5" borderId="9" xfId="0" applyNumberFormat="1" applyFont="1" applyFill="1" applyBorder="1"/>
    <x:xf numFmtId="207" fontId="15" fillId="5" borderId="10" xfId="0" applyNumberFormat="1" applyFont="1" applyFill="1" applyBorder="1"/>
    <x:xf numFmtId="207" fontId="15" fillId="5" borderId="11" xfId="0" applyNumberFormat="1" applyFont="1" applyFill="1" applyBorder="1"/>
    <x:xf numFmtId="207" fontId="15" fillId="5" borderId="12" xfId="0" applyNumberFormat="1" applyFont="1" applyFill="1" applyBorder="1"/>
    <x:xf numFmtId="207" fontId="15" fillId="5" borderId="0" xfId="0" applyNumberFormat="1" applyFont="1" applyFill="1" applyBorder="1"/>
    <x:xf numFmtId="207" fontId="15" fillId="5" borderId="13" xfId="0" applyNumberFormat="1" applyFont="1" applyFill="1" applyBorder="1"/>
    <x:xf numFmtId="207" fontId="15" fillId="5" borderId="14" xfId="0" applyNumberFormat="1" applyFont="1" applyFill="1" applyBorder="1"/>
    <x:xf numFmtId="207" fontId="15" fillId="5" borderId="8" xfId="0" applyNumberFormat="1" applyFont="1" applyFill="1" applyBorder="1"/>
    <x:xf numFmtId="207" fontId="15" fillId="5" borderId="15" xfId="0" applyNumberFormat="1" applyFont="1" applyFill="1" applyBorder="1"/>
    <x:xf numFmtId="207" fontId="15" fillId="5" borderId="9" xfId="0" applyNumberFormat="1" applyFont="1" applyFill="1" applyBorder="1" applyAlignment="1">
      <x:alignment horizontal="center"/>
    </x:xf>
    <x:xf numFmtId="207" fontId="15" fillId="5" borderId="10" xfId="0" applyNumberFormat="1" applyFont="1" applyFill="1" applyBorder="1" applyAlignment="1">
      <x:alignment horizontal="center"/>
    </x:xf>
    <x:xf numFmtId="207" fontId="15" fillId="5" borderId="11" xfId="0" applyNumberFormat="1" applyFont="1" applyFill="1" applyBorder="1" applyAlignment="1">
      <x:alignment horizontal="center"/>
    </x:xf>
    <x:xf numFmtId="207" fontId="15" fillId="5" borderId="12" xfId="0" applyNumberFormat="1" applyFont="1" applyFill="1" applyBorder="1" applyAlignment="1">
      <x:alignment horizontal="center"/>
    </x:xf>
    <x:xf numFmtId="207" fontId="15" fillId="5" borderId="0" xfId="0" applyNumberFormat="1" applyFont="1" applyFill="1" applyBorder="1" applyAlignment="1">
      <x:alignment horizontal="center"/>
    </x:xf>
    <x:xf numFmtId="207" fontId="15" fillId="5" borderId="13" xfId="0" applyNumberFormat="1" applyFont="1" applyFill="1" applyBorder="1" applyAlignment="1">
      <x:alignment horizontal="center"/>
    </x:xf>
    <x:xf numFmtId="207" fontId="15" fillId="5" borderId="14" xfId="0" applyNumberFormat="1" applyFont="1" applyFill="1" applyBorder="1" applyAlignment="1">
      <x:alignment horizontal="center"/>
    </x:xf>
    <x:xf numFmtId="207" fontId="15" fillId="5" borderId="8" xfId="0" applyNumberFormat="1" applyFont="1" applyFill="1" applyBorder="1" applyAlignment="1">
      <x:alignment horizontal="center"/>
    </x:xf>
    <x:xf numFmtId="207" fontId="15" fillId="5" borderId="15" xfId="0" applyNumberFormat="1" applyFont="1" applyFill="1" applyBorder="1" applyAlignment="1">
      <x:alignment horizontal="center"/>
    </x:xf>
    <x:xf numFmtId="207" fontId="15" fillId="5" borderId="9" xfId="0" applyNumberFormat="1" applyFont="1" applyFill="1" applyBorder="1" applyAlignment="1">
      <x:alignment horizontal="center" vertical="center"/>
    </x:xf>
    <x:xf numFmtId="207" fontId="15" fillId="5" borderId="10" xfId="0" applyNumberFormat="1" applyFont="1" applyFill="1" applyBorder="1" applyAlignment="1">
      <x:alignment horizontal="center" vertical="center"/>
    </x:xf>
    <x:xf numFmtId="207" fontId="15" fillId="5" borderId="11" xfId="0" applyNumberFormat="1" applyFont="1" applyFill="1" applyBorder="1" applyAlignment="1">
      <x:alignment horizontal="center" vertical="center"/>
    </x:xf>
    <x:xf numFmtId="207" fontId="15" fillId="5" borderId="12" xfId="0" applyNumberFormat="1" applyFont="1" applyFill="1" applyBorder="1" applyAlignment="1">
      <x:alignment horizontal="center" vertical="center"/>
    </x:xf>
    <x:xf numFmtId="207" fontId="15" fillId="5" borderId="0" xfId="0" applyNumberFormat="1" applyFont="1" applyFill="1" applyBorder="1" applyAlignment="1">
      <x:alignment horizontal="center" vertical="center"/>
    </x:xf>
    <x:xf numFmtId="207" fontId="15" fillId="5" borderId="13" xfId="0" applyNumberFormat="1" applyFont="1" applyFill="1" applyBorder="1" applyAlignment="1">
      <x:alignment horizontal="center" vertical="center"/>
    </x:xf>
    <x:xf numFmtId="207" fontId="15" fillId="5" borderId="14" xfId="0" applyNumberFormat="1" applyFont="1" applyFill="1" applyBorder="1" applyAlignment="1">
      <x:alignment horizontal="center" vertical="center"/>
    </x:xf>
    <x:xf numFmtId="207" fontId="15" fillId="5" borderId="8" xfId="0" applyNumberFormat="1" applyFont="1" applyFill="1" applyBorder="1" applyAlignment="1">
      <x:alignment horizontal="center" vertical="center"/>
    </x:xf>
    <x:xf numFmtId="207" fontId="15" fillId="5" borderId="1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0" fontId="14" fillId="7" borderId="6" xfId="0" applyNumberFormat="1" applyFont="1" applyFill="1" applyBorder="1" applyAlignment="1">
      <x:alignment vertical="center"/>
    </x:xf>
    <x:xf numFmtId="201" fontId="14" fillId="7" borderId="6" xfId="0" applyNumberFormat="1" applyFont="1" applyFill="1" applyBorder="1" applyAlignment="1">
      <x:alignment vertical="center"/>
    </x:xf>
    <x:xf numFmtId="200" fontId="14" fillId="7" borderId="6" xfId="0" applyNumberFormat="1" applyFont="1" applyFill="1" applyBorder="1" applyAlignment="1">
      <x:alignment vertical="center"/>
    </x:xf>
    <x:xf numFmtId="203" fontId="14" fillId="7" borderId="6" xfId="0" applyNumberFormat="1" applyFont="1" applyFill="1" applyBorder="1" applyAlignment="1">
      <x:alignment vertical="center"/>
    </x:xf>
    <x:xf numFmtId="0" fontId="14" fillId="7" borderId="7" xfId="0" applyNumberFormat="1" applyFont="1" applyFill="1" applyBorder="1" applyAlignment="1">
      <x:alignment vertical="center"/>
    </x:xf>
    <x:xf numFmtId="201" fontId="14" fillId="7" borderId="7" xfId="0" applyNumberFormat="1" applyFont="1" applyFill="1" applyBorder="1" applyAlignment="1">
      <x:alignment vertical="center"/>
    </x:xf>
    <x:xf numFmtId="0" fontId="14" fillId="7" borderId="8" xfId="0" applyNumberFormat="1" applyFont="1" applyFill="1" applyBorder="1" applyAlignment="1">
      <x:alignment vertical="center"/>
    </x:xf>
    <x:xf numFmtId="201" fontId="14" fillId="7" borderId="8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4" fillId="10" borderId="16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4" fillId="11" borderId="16" xfId="0" applyNumberFormat="1" applyFont="1" applyFill="1" applyBorder="1" applyAlignment="1">
      <x:alignment vertical="center"/>
    </x:xf>
    <x:xf numFmtId="201" fontId="4" fillId="10" borderId="16" xfId="0" applyNumberFormat="1" applyFont="1" applyFill="1" applyBorder="1" applyAlignment="1">
      <x:alignment vertical="center"/>
    </x:xf>
    <x:xf numFmtId="201" fontId="4" fillId="11" borderId="16" xfId="0" applyNumberFormat="1" applyFont="1" applyFill="1" applyBorder="1" applyAlignment="1">
      <x:alignment vertical="center"/>
    </x:xf>
    <x:xf numFmtId="208" fontId="4" fillId="10" borderId="16" xfId="0" applyNumberFormat="1" applyFont="1" applyFill="1" applyBorder="1" applyAlignment="1">
      <x:alignment vertical="center"/>
    </x:xf>
    <x:xf numFmtId="208" fontId="4" fillId="11" borderId="16" xfId="0" applyNumberFormat="1" applyFont="1" applyFill="1" applyBorder="1" applyAlignment="1">
      <x:alignment vertical="center"/>
    </x:xf>
    <x:xf numFmtId="0" fontId="4" fillId="12" borderId="16" xfId="0" applyNumberFormat="1" applyFont="1" applyFill="1" applyBorder="1" applyAlignment="1">
      <x:alignment vertical="center"/>
    </x:xf>
    <x:xf numFmtId="0" fontId="16" fillId="12" borderId="16" xfId="0" applyNumberFormat="1" applyFont="1" applyFill="1" applyBorder="1" applyAlignment="1">
      <x:alignment vertical="center"/>
    </x:xf>
  </x:cellXfs>
  <x:cellStyles count="1">
    <x:cellStyle name="Normal" xfId="0"/>
  </x:cellStyles>
  <x:dxfs count="17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627e88a2a40b1" /><Relationship Type="http://schemas.openxmlformats.org/officeDocument/2006/relationships/theme" Target="/xl/theme/theme1.xml" Id="Rc3906de0a7174dd6" /><Relationship Type="http://schemas.openxmlformats.org/officeDocument/2006/relationships/sharedStrings" Target="/xl/sharedStrings.xml" Id="R9eb1db64ba3a46cc" /><Relationship Type="http://schemas.openxmlformats.org/officeDocument/2006/relationships/worksheet" Target="/xl/worksheets/sheet1.xml" Id="R5f6a0cff8ae04abd" /><Relationship Type="http://schemas.openxmlformats.org/officeDocument/2006/relationships/worksheet" Target="/xl/worksheets/sheet2.xml" Id="R267fdead01374558" /><Relationship Type="http://schemas.openxmlformats.org/officeDocument/2006/relationships/worksheet" Target="/xl/worksheets/sheet3.xml" Id="R0fc5379cfc184cb4" /><Relationship Type="http://schemas.openxmlformats.org/officeDocument/2006/relationships/worksheet" Target="/xl/worksheets/sheet4.xml" Id="R062ec6a8773342f1" /><Relationship Type="http://schemas.openxmlformats.org/officeDocument/2006/relationships/worksheet" Target="/xl/worksheets/sheet5.xml" Id="R5bd2ebcdf8614977" /><Relationship Type="http://schemas.openxmlformats.org/officeDocument/2006/relationships/worksheet" Target="/xl/worksheets/sheet6.xml" Id="Rbfeaeef165b44310" /><Relationship Type="http://schemas.openxmlformats.org/officeDocument/2006/relationships/worksheet" Target="/xl/worksheets/sheet7.xml" Id="Rfa564f3767a44c8d" /><Relationship Type="http://schemas.openxmlformats.org/officeDocument/2006/relationships/worksheet" Target="/xl/worksheets/sheet8.xml" Id="R228eb29c2c1d4792" /><Relationship Type="http://schemas.openxmlformats.org/officeDocument/2006/relationships/worksheet" Target="/xl/worksheets/sheet9.xml" Id="R9d7762264b78439c" /><Relationship Type="http://schemas.openxmlformats.org/officeDocument/2006/relationships/worksheet" Target="/xl/worksheets/sheet10.xml" Id="R2f53592efae54a93" /><Relationship Type="http://schemas.openxmlformats.org/officeDocument/2006/relationships/worksheet" Target="/xl/worksheets/sheet11.xml" Id="Rd1205e06122b4f72" /><Relationship Type="http://schemas.openxmlformats.org/officeDocument/2006/relationships/worksheet" Target="/xl/worksheets/sheet12.xml" Id="R4cc079425f014c1a" /><Relationship Type="http://schemas.openxmlformats.org/officeDocument/2006/relationships/worksheet" Target="/xl/worksheets/sheet13.xml" Id="R98703b61ece44747" /><Relationship Type="http://schemas.openxmlformats.org/officeDocument/2006/relationships/worksheet" Target="/xl/worksheets/sheet14.xml" Id="R17c61a4e684a40be" /><Relationship Type="http://schemas.openxmlformats.org/officeDocument/2006/relationships/worksheet" Target="/xl/worksheets/sheet15.xml" Id="R52b884d0b4e94d94" /><Relationship Type="http://schemas.openxmlformats.org/officeDocument/2006/relationships/worksheet" Target="/xl/worksheets/sheet16.xml" Id="R4edaf99f9250451c" /><Relationship Type="http://schemas.openxmlformats.org/officeDocument/2006/relationships/worksheet" Target="/xl/worksheets/sheet17.xml" Id="R8de9e5d7d7f54866" /><Relationship Type="http://schemas.openxmlformats.org/officeDocument/2006/relationships/worksheet" Target="/xl/worksheets/sheet18.xml" Id="Rda8b36dcacba4d89" /><Relationship Type="http://schemas.openxmlformats.org/officeDocument/2006/relationships/worksheet" Target="/xl/worksheets/sheet19.xml" Id="R8fab64b1fa2a4a28" /><Relationship Type="http://schemas.openxmlformats.org/officeDocument/2006/relationships/worksheet" Target="/xl/worksheets/sheet20.xml" Id="Rdf437c12cdf7496f" /><Relationship Type="http://schemas.openxmlformats.org/officeDocument/2006/relationships/worksheet" Target="/xl/worksheets/sheet21.xml" Id="R95c89faf44d04766" /><Relationship Type="http://schemas.openxmlformats.org/officeDocument/2006/relationships/worksheet" Target="/xl/worksheets/sheet22.xml" Id="Rd9c2dc0fee2e4223" /><Relationship Type="http://schemas.openxmlformats.org/officeDocument/2006/relationships/worksheet" Target="/xl/worksheets/sheet23.xml" Id="R8b584eae23854e5f" /><Relationship Type="http://schemas.openxmlformats.org/officeDocument/2006/relationships/worksheet" Target="/xl/worksheets/sheet24.xml" Id="R87161ce35aa74f9c" /><Relationship Type="http://schemas.openxmlformats.org/officeDocument/2006/relationships/worksheet" Target="/xl/worksheets/sheet25.xml" Id="R471be425e66c48ad" /><Relationship Type="http://schemas.openxmlformats.org/officeDocument/2006/relationships/worksheet" Target="/xl/worksheets/sheet26.xml" Id="Rb670ee8a5986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908647ecb84d63" /><Relationship Type="http://schemas.openxmlformats.org/officeDocument/2006/relationships/chart" Target="/xl/drawings/charts/chart2.xml" Id="Rff68ff43e77b4888" /><Relationship Type="http://schemas.openxmlformats.org/officeDocument/2006/relationships/chart" Target="/xl/drawings/charts/chart3.xml" Id="R302573145cf24322" /><Relationship Type="http://schemas.openxmlformats.org/officeDocument/2006/relationships/chart" Target="/xl/drawings/charts/chart4.xml" Id="Rcdf2e5e81ede44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Wykonanie vs budżet 2025 (PLN)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Wykonanie</c:v>
          </c:tx>
          <c:marker>
            <c:symbol val="none"/>
          </c:marker>
          <c:cat>
            <c:strRef>
              <c:f>'23_PANEL_ZARZADCZY'!$A$16:$A$27</c:f>
              <c:strCache>
                <c:ptCount val="0"/>
              </c:strCache>
            </c:strRef>
          </c:cat>
          <c:val>
            <c:numRef>
              <c:f>'23_PANEL_ZARZADCZY'!$B$16:$B$27</c:f>
              <c:numCache>
                <c:formatCode>#,##0.00 "PLN";[Red](#,##0.00 "PLN");-</c:formatCode>
                <c:ptCount val="0"/>
              </c:numCache>
            </c:numRef>
          </c:val>
        </c:ser>
        <c:ser>
          <c:idx val="1"/>
          <c:order val="1"/>
          <c:tx>
            <c:v>Budżet</c:v>
          </c:tx>
          <c:marker>
            <c:symbol val="none"/>
          </c:marker>
          <c:cat>
            <c:strRef>
              <c:f>'23_PANEL_ZARZADCZY'!$A$16:$A$27</c:f>
              <c:strCache>
                <c:ptCount val="0"/>
              </c:strCache>
            </c:strRef>
          </c:cat>
          <c:val>
            <c:numRef>
              <c:f>'23_PANEL_ZARZADCZY'!$C$16:$C$27</c:f>
              <c:numCache>
                <c:formatCode>#,##0.00 "PLN";[Red](#,##0.00 "PLN");-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PLN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Przychód według kategorii (PLN)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Przychód</c:v>
          </c:tx>
          <c:cat>
            <c:strRef>
              <c:f>'23_PANEL_ZARZADCZY'!$E$16:$E$20</c:f>
              <c:strCache>
                <c:ptCount val="0"/>
              </c:strCache>
            </c:strRef>
          </c:cat>
          <c:val>
            <c:numRef>
              <c:f>'23_PANEL_ZARZADCZY'!$F$16:$F$20</c:f>
              <c:numCache>
                <c:formatCode>#,##0.00 "PLN";[Red](#,##0.00 "PLN");-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PLN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Przychód według kanału (PLN)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Przychód</c:v>
          </c:tx>
          <c:cat>
            <c:strRef>
              <c:f>'23_PANEL_ZARZADCZY'!$H$16:$H$19</c:f>
              <c:strCache>
                <c:ptCount val="0"/>
              </c:strCache>
            </c:strRef>
          </c:cat>
          <c:val>
            <c:numRef>
              <c:f>'23_PANEL_ZARZADCZY'!$I$16:$I$19</c:f>
              <c:numCache>
                <c:formatCode>#,##0.00 "PLN";[Red](#,##0.00 "PLN");-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PLN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EBITDA według scenariusza (PLN)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EBITDA</c:v>
          </c:tx>
          <c:cat>
            <c:strRef>
              <c:f>'23_PANEL_ZARZADCZY'!$K$16:$K$18</c:f>
              <c:strCache>
                <c:ptCount val="0"/>
              </c:strCache>
            </c:strRef>
          </c:cat>
          <c:val>
            <c:numRef>
              <c:f>'23_PANEL_ZARZADCZY'!$L$16:$L$18</c:f>
              <c:numCache>
                <c:formatCode>#,##0.00 "PLN";[Red](#,##0.00 "PLN");-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PLN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908647ecb84d63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15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68ff43e77b4888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2573145cf24322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15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f2e5e81ede44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1.xml" Id="R06d1d5f2803a45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66" hidden="0" customWidth="1"/>
    <x:col min="5" max="5" width="50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MODEL FINANSOWO-CONTROLLINGOWY - DANE RZECZYWISTE</x:v>
      </x:c>
      <x:c r="B1" s="3"/>
      <x:c r="C1" s="3"/>
      <x:c r="D1" s="3"/>
      <x:c r="E1" s="3"/>
      <x:c r="F1" s="3"/>
      <x:c r="G1" s="3"/>
      <x:c r="H1" s="3"/>
    </x:row>
    <x:row r="2">
      <x:c r="A2" s="42" t="str">
        <x:v>Kontynuacja Analiza_Sprzedazy_Excel.xlsx | wykonanie 2025 po wyłączeniu rekordów KONTROLA_* | plan i scenariusze 2026</x:v>
      </x:c>
      <x:c r="B2" s="42"/>
      <x:c r="C2" s="42"/>
      <x:c r="D2" s="42"/>
      <x:c r="E2" s="42"/>
      <x:c r="F2" s="42"/>
      <x:c r="G2" s="42"/>
      <x:c r="H2" s="42"/>
    </x:row>
    <x:row r="3">
      <x:c r="A3" s="210"/>
      <x:c r="B3" s="210"/>
      <x:c r="C3" s="210"/>
      <x:c r="D3" s="210"/>
      <x:c r="E3" s="210"/>
      <x:c r="F3" s="210"/>
      <x:c r="G3" s="210"/>
      <x:c r="H3" s="210"/>
    </x:row>
    <x:row r="4">
      <x:c r="A4" s="211" t="str">
        <x:v>Wersja</x:v>
      </x:c>
      <x:c r="B4" s="212" t="str">
        <x:v>2.0 - dane rzeczywiste</x:v>
      </x:c>
      <x:c r="C4" s="210"/>
      <x:c r="D4" s="211" t="str">
        <x:v>Legenda modelu</x:v>
      </x:c>
      <x:c r="E4" s="211"/>
      <x:c r="F4" s="211"/>
      <x:c r="G4" s="211"/>
      <x:c r="H4" s="211"/>
    </x:row>
    <x:row r="5">
      <x:c r="A5" s="211" t="str">
        <x:v>Data modelu</x:v>
      </x:c>
      <x:c r="B5" s="212" t="str">
        <x:v>2026-07-13</x:v>
      </x:c>
      <x:c r="C5" s="210"/>
      <x:c r="D5" s="213" t="str">
        <x:v>Niebieska czcionka</x:v>
      </x:c>
      <x:c r="E5" s="214" t="str">
        <x:v>założenia edytowalne</x:v>
      </x:c>
      <x:c r="F5" s="214"/>
      <x:c r="G5" s="214"/>
      <x:c r="H5" s="214"/>
    </x:row>
    <x:row r="6">
      <x:c r="A6" s="211" t="str">
        <x:v>Waluta</x:v>
      </x:c>
      <x:c r="B6" s="212" t="str">
        <x:v>PLN</x:v>
      </x:c>
      <x:c r="C6" s="210"/>
      <x:c r="D6" s="215" t="str">
        <x:v>Czarna czcionka</x:v>
      </x:c>
      <x:c r="E6" s="214" t="str">
        <x:v>formuły i obliczenia</x:v>
      </x:c>
      <x:c r="F6" s="214"/>
      <x:c r="G6" s="214"/>
      <x:c r="H6" s="214"/>
    </x:row>
    <x:row r="7">
      <x:c r="A7" s="211" t="str">
        <x:v>Źródło</x:v>
      </x:c>
      <x:c r="B7" s="212" t="str">
        <x:v>Analiza_Sprzedazy_Excel.xlsx</x:v>
      </x:c>
      <x:c r="C7" s="210"/>
      <x:c r="D7" s="215" t="str">
        <x:v>Jasnoniebieskie tło</x:v>
      </x:c>
      <x:c r="E7" s="214" t="str">
        <x:v>dane historyczne i tabele źródłowe</x:v>
      </x:c>
      <x:c r="F7" s="214"/>
      <x:c r="G7" s="214"/>
      <x:c r="H7" s="214"/>
    </x:row>
    <x:row r="8">
      <x:c r="A8" s="211" t="str">
        <x:v>Status źródła</x:v>
      </x:c>
      <x:c r="B8" s="212" t="str">
        <x:v>Zasilane z analiz FAKT_Sprzedaz; rekordy kontrolne wyłączone</x:v>
      </x:c>
      <x:c r="C8" s="210"/>
      <x:c r="D8" s="215" t="str">
        <x:v>Pomarańczowy akcent</x:v>
      </x:c>
      <x:c r="E8" s="214" t="str">
        <x:v>budżet / plan / odchylenie</x:v>
      </x:c>
      <x:c r="F8" s="214"/>
      <x:c r="G8" s="214"/>
      <x:c r="H8" s="214"/>
    </x:row>
    <x:row r="9">
      <x:c r="A9" s="210"/>
      <x:c r="B9" s="210"/>
      <x:c r="C9" s="210"/>
      <x:c r="D9" s="210"/>
      <x:c r="E9" s="210"/>
      <x:c r="F9" s="210"/>
      <x:c r="G9" s="210"/>
      <x:c r="H9" s="210"/>
    </x:row>
    <x:row r="10" ht="23" customHeight="1">
      <x:c r="A10" s="16" t="str">
        <x:v>Instrukcja krok po kroku</x:v>
      </x:c>
      <x:c r="B10" s="16" t="str">
        <x:v>Instrukcja krok po kroku</x:v>
      </x:c>
      <x:c r="C10" s="16" t="str">
        <x:v>Instrukcja krok po kroku</x:v>
      </x:c>
      <x:c r="D10" s="16" t="str">
        <x:v>Instrukcja krok po kroku</x:v>
      </x:c>
      <x:c r="E10" s="16" t="str">
        <x:v>Instrukcja krok po kroku</x:v>
      </x:c>
      <x:c r="F10" s="16" t="str">
        <x:v>Instrukcja krok po kroku</x:v>
      </x:c>
      <x:c r="G10" s="16" t="str">
        <x:v>Instrukcja krok po kroku</x:v>
      </x:c>
      <x:c r="H10" s="16" t="str">
        <x:v>Instrukcja krok po kroku</x:v>
      </x:c>
    </x:row>
    <x:row r="11" ht="32" customHeight="1">
      <x:c r="A11" s="21" t="str">
        <x:v>Krok</x:v>
      </x:c>
      <x:c r="B11" s="21" t="str">
        <x:v>Arkusz</x:v>
      </x:c>
      <x:c r="C11" s="21" t="str">
        <x:v>Czynność</x:v>
      </x:c>
      <x:c r="D11" s="21" t="str">
        <x:v>Co wykonano</x:v>
      </x:c>
      <x:c r="E11" s="21" t="str">
        <x:v>Kontrola</x:v>
      </x:c>
      <x:c r="F11" s="210"/>
      <x:c r="G11" s="210"/>
      <x:c r="H11" s="210"/>
    </x:row>
    <x:row r="12" ht="46" customHeight="1">
      <x:c r="A12" s="24" t="n">
        <x:v>1</x:v>
      </x:c>
      <x:c r="B12" s="24" t="str">
        <x:v>02-04</x:v>
      </x:c>
      <x:c r="C12" s="24" t="str">
        <x:v>Pobranie wykonania</x:v>
      </x:c>
      <x:c r="D12" s="28" t="str">
        <x:v>Przeniesiono wartości z ANALIZA_Czas, ANALIZA_Kategorie i ANALIZA_Kanaly.</x:v>
      </x:c>
      <x:c r="E12" s="28" t="str">
        <x:v>Sumy źródłowe zgodne ze skoroszytem wejściowym.</x:v>
      </x:c>
      <x:c r="F12" s="210"/>
      <x:c r="G12" s="210"/>
      <x:c r="H12" s="210"/>
    </x:row>
    <x:row r="13" ht="46" customHeight="1">
      <x:c r="A13" s="27" t="n">
        <x:v>2</x:v>
      </x:c>
      <x:c r="B13" s="27" t="str">
        <x:v>05</x:v>
      </x:c>
      <x:c r="C13" s="27" t="str">
        <x:v>Wyłączenia jakościowe</x:v>
      </x:c>
      <x:c r="D13" s="29" t="str">
        <x:v>Do arkusza audytowego przeniesiono wyłącznie identyfikatory i pola finansowe rekordów KONTROLA_*; dane osobowe pominięto.</x:v>
      </x:c>
      <x:c r="E13" s="29" t="str">
        <x:v>83 sprzedaż, 16 budżet, 5 zwroty oraz pozostałe liczniki.</x:v>
      </x:c>
      <x:c r="F13" s="210"/>
      <x:c r="G13" s="210"/>
      <x:c r="H13" s="210"/>
    </x:row>
    <x:row r="14" ht="46" customHeight="1">
      <x:c r="A14" s="24" t="n">
        <x:v>3</x:v>
      </x:c>
      <x:c r="B14" s="24" t="str">
        <x:v>02</x:v>
      </x:c>
      <x:c r="C14" s="24" t="str">
        <x:v>Sprzedaż po kontroli</x:v>
      </x:c>
      <x:c r="D14" s="28" t="str">
        <x:v>Przychód czysty = przychód źródłowy − wyłącznie rekordy wykazane w KONTROLA_Sprzedaz. Nie zastosowano dodatkowego czyszczenia.</x:v>
      </x:c>
      <x:c r="E14" s="28" t="str">
        <x:v>Suma = 3 514 692,03 PLN.</x:v>
      </x:c>
      <x:c r="F14" s="210"/>
      <x:c r="G14" s="210"/>
      <x:c r="H14" s="210"/>
    </x:row>
    <x:row r="15" ht="46" customHeight="1">
      <x:c r="A15" s="27" t="n">
        <x:v>4</x:v>
      </x:c>
      <x:c r="B15" s="27" t="str">
        <x:v>02-04</x:v>
      </x:c>
      <x:c r="C15" s="27" t="str">
        <x:v>Uzgodnienie przekrojów</x:v>
      </x:c>
      <x:c r="D15" s="29" t="str">
        <x:v>Różnica 3 228,11 PLN między osią 12 miesięcy a kategoriami/kanałami nie jest usuwana. Pokazano ją jako pozycję poza osią miesięczną.</x:v>
      </x:c>
      <x:c r="E15" s="29" t="str">
        <x:v>Kategorie i kanały pozostają bez dodatkowej korekty.</x:v>
      </x:c>
      <x:c r="F15" s="210"/>
      <x:c r="G15" s="210"/>
      <x:c r="H15" s="210"/>
    </x:row>
    <x:row r="16" ht="46" customHeight="1">
      <x:c r="A16" s="24" t="n">
        <x:v>5</x:v>
      </x:c>
      <x:c r="B16" s="24" t="str">
        <x:v>06</x:v>
      </x:c>
      <x:c r="C16" s="24" t="str">
        <x:v>Wykonanie 2025</x:v>
      </x:c>
      <x:c r="D16" s="28" t="str">
        <x:v>Zwroty i KWS są oparte na źródłowych stopach; miesięczna sezonowość pochodzi z ANALIZA_Czas, a różnica zakresu pozostaje osobną pozycją.</x:v>
      </x:c>
      <x:c r="E16" s="28" t="str">
        <x:v>Łączne wykonanie obejmuje pełny wynik po kontrolach.</x:v>
      </x:c>
      <x:c r="F16" s="210"/>
      <x:c r="G16" s="210"/>
      <x:c r="H16" s="210"/>
    </x:row>
    <x:row r="17" ht="46" customHeight="1">
      <x:c r="A17" s="27" t="n">
        <x:v>6</x:v>
      </x:c>
      <x:c r="B17" s="27" t="str">
        <x:v>07-10</x:v>
      </x:c>
      <x:c r="C17" s="27" t="str">
        <x:v>Analizy operacyjne</x:v>
      </x:c>
      <x:c r="D17" s="29" t="str">
        <x:v>Pokazano kategorie, kanały, zwroty i zapasy po wyłączeniach oraz z kontrolą rentowności.</x:v>
      </x:c>
      <x:c r="E17" s="29" t="str">
        <x:v>Brak ręcznego tworzenia rekordów MKK i wolumenu sprzedaży.</x:v>
      </x:c>
      <x:c r="F17" s="210"/>
      <x:c r="G17" s="210"/>
      <x:c r="H17" s="210"/>
    </x:row>
    <x:row r="18" ht="46" customHeight="1">
      <x:c r="A18" s="24" t="n">
        <x:v>7</x:v>
      </x:c>
      <x:c r="B18" s="24" t="str">
        <x:v>01</x:v>
      </x:c>
      <x:c r="C18" s="24" t="str">
        <x:v>Założenia</x:v>
      </x:c>
      <x:c r="D18" s="28" t="str">
        <x:v>Wszystkie parametry planu 2026 są jawne, scenariuszowe i opisane po polsku w snake_case.</x:v>
      </x:c>
      <x:c r="E18" s="28" t="str">
        <x:v>Budżet/plan nie zawiera ukrytych stałych w formułach.</x:v>
      </x:c>
      <x:c r="F18" s="210"/>
      <x:c r="G18" s="210"/>
      <x:c r="H18" s="210"/>
    </x:row>
    <x:row r="19" ht="46" customHeight="1">
      <x:c r="A19" s="27" t="n">
        <x:v>8</x:v>
      </x:c>
      <x:c r="B19" s="27" t="str">
        <x:v>11</x:v>
      </x:c>
      <x:c r="C19" s="27" t="str">
        <x:v>Budżet 2025</x:v>
      </x:c>
      <x:c r="D19" s="29" t="str">
        <x:v>Budżet źródłowy pomniejszono o 16 rekordów z KONTROLA_Budzet.</x:v>
      </x:c>
      <x:c r="E19" s="29" t="str">
        <x:v>Czysty budżet = 5 462 374,78 PLN.</x:v>
      </x:c>
      <x:c r="F19" s="210"/>
      <x:c r="G19" s="210"/>
      <x:c r="H19" s="210"/>
    </x:row>
    <x:row r="20" ht="46" customHeight="1">
      <x:c r="A20" s="24" t="n">
        <x:v>9</x:v>
      </x:c>
      <x:c r="B20" s="24" t="str">
        <x:v>16</x:v>
      </x:c>
      <x:c r="C20" s="24" t="str">
        <x:v>Zatrudnienie</x:v>
      </x:c>
      <x:c r="D20" s="28" t="str">
        <x:v>Koszty płac wynikają z FTE, płacy, miesiąca rozpoczęcia i narzutów pracodawcy.</x:v>
      </x:c>
      <x:c r="E20" s="28" t="str">
        <x:v>Koszt planu zgadza się z sumą centrów kosztów.</x:v>
      </x:c>
      <x:c r="F20" s="210"/>
      <x:c r="G20" s="210"/>
      <x:c r="H20" s="210"/>
    </x:row>
    <x:row r="21" ht="46" customHeight="1">
      <x:c r="A21" s="27" t="n">
        <x:v>10</x:v>
      </x:c>
      <x:c r="B21" s="27" t="str">
        <x:v>17</x:v>
      </x:c>
      <x:c r="C21" s="27" t="str">
        <x:v>CAPEX i amortyzacja</x:v>
      </x:c>
      <x:c r="D21" s="29" t="str">
        <x:v>Każde aktywo ma jawny koszt, datę zakupu, okres użytkowania i start amortyzacji.</x:v>
      </x:c>
      <x:c r="E21" s="29" t="str">
        <x:v>Amortyzacja i wypływ CAPEX są rozdzielone.</x:v>
      </x:c>
      <x:c r="F21" s="210"/>
      <x:c r="G21" s="210"/>
      <x:c r="H21" s="210"/>
    </x:row>
    <x:row r="22" ht="46" customHeight="1">
      <x:c r="A22" s="24" t="n">
        <x:v>11</x:v>
      </x:c>
      <x:c r="B22" s="24" t="str">
        <x:v>18</x:v>
      </x:c>
      <x:c r="C22" s="24" t="str">
        <x:v>Koszty operacyjne</x:v>
      </x:c>
      <x:c r="D22" s="28" t="str">
        <x:v>Marketing zależy od przychodu, logistyka od liczby zamówień, a pozostałe koszty od stałych i inflacji.</x:v>
      </x:c>
      <x:c r="E22" s="28" t="str">
        <x:v>Wszystkie koszty są miesięczne i audytowalne.</x:v>
      </x:c>
      <x:c r="F22" s="210"/>
      <x:c r="G22" s="210"/>
      <x:c r="H22" s="210"/>
    </x:row>
    <x:row r="23" ht="46" customHeight="1">
      <x:c r="A23" s="27" t="n">
        <x:v>12</x:v>
      </x:c>
      <x:c r="B23" s="27" t="str">
        <x:v>12</x:v>
      </x:c>
      <x:c r="C23" s="27" t="str">
        <x:v>Plan 2026</x:v>
      </x:c>
      <x:c r="D23" s="29" t="str">
        <x:v>Przychód opiera się na rzeczywistym profilu miesięcznym 2025 oraz aktywnym wzroście wolumenu i ceny.</x:v>
      </x:c>
      <x:c r="E23" s="29" t="str">
        <x:v>Plan roczny sumuje 12 miesięcy.</x:v>
      </x:c>
      <x:c r="F23" s="210"/>
      <x:c r="G23" s="210"/>
      <x:c r="H23" s="210"/>
    </x:row>
    <x:row r="24" ht="46" customHeight="1">
      <x:c r="A24" s="24" t="n">
        <x:v>13</x:v>
      </x:c>
      <x:c r="B24" s="24" t="str">
        <x:v>13</x:v>
      </x:c>
      <x:c r="C24" s="24" t="str">
        <x:v>Rachunek wyników</x:v>
      </x:c>
      <x:c r="D24" s="28" t="str">
        <x:v>Porównano wykonanie 2025, czysty budżet 2025 oraz plan 2026 do zysku netto.</x:v>
      </x:c>
      <x:c r="E24" s="28" t="str">
        <x:v>EBIT jest przed odsetkami, EBT po odsetkach.</x:v>
      </x:c>
      <x:c r="F24" s="210"/>
      <x:c r="G24" s="210"/>
      <x:c r="H24" s="210"/>
    </x:row>
    <x:row r="25" ht="46" customHeight="1">
      <x:c r="A25" s="27" t="n">
        <x:v>14</x:v>
      </x:c>
      <x:c r="B25" s="27" t="str">
        <x:v>14</x:v>
      </x:c>
      <x:c r="C25" s="27" t="str">
        <x:v>Odchylenia</x:v>
      </x:c>
      <x:c r="D25" s="29" t="str">
        <x:v>Odchylenie przychodu = wykonanie − budżet; dodatnia wartość oznacza wynik korzystny.</x:v>
      </x:c>
      <x:c r="E25" s="29" t="str">
        <x:v>Miesiące, kategorie i kanały mają ten sam kierunek znaków.</x:v>
      </x:c>
      <x:c r="F25" s="210"/>
      <x:c r="G25" s="210"/>
      <x:c r="H25" s="210"/>
    </x:row>
    <x:row r="26" ht="46" customHeight="1">
      <x:c r="A26" s="24" t="n">
        <x:v>15</x:v>
      </x:c>
      <x:c r="B26" s="24" t="str">
        <x:v>15</x:v>
      </x:c>
      <x:c r="C26" s="24" t="str">
        <x:v>Cena - wolumen - miks</x:v>
      </x:c>
      <x:c r="D26" s="28" t="str">
        <x:v>Wolumenem jest liczba rzeczywistych zamówień; cenę zastępuje średnia wartość zamówienia.</x:v>
      </x:c>
      <x:c r="E26" s="28" t="str">
        <x:v>Most dokładnie dochodzi do przychodu planowanego.</x:v>
      </x:c>
      <x:c r="F26" s="210"/>
      <x:c r="G26" s="210"/>
      <x:c r="H26" s="210"/>
    </x:row>
    <x:row r="27" ht="46" customHeight="1">
      <x:c r="A27" s="27" t="n">
        <x:v>16</x:v>
      </x:c>
      <x:c r="B27" s="27" t="str">
        <x:v>19</x:v>
      </x:c>
      <x:c r="C27" s="27" t="str">
        <x:v>Kapitał obrotowy</x:v>
      </x:c>
      <x:c r="D27" s="29" t="str">
        <x:v>Należności, zapasy i zobowiązania są liczone z DSO, DIO i DPO.</x:v>
      </x:c>
      <x:c r="E27" s="29" t="str">
        <x:v>NWC = należności + zapasy − zobowiązania.</x:v>
      </x:c>
      <x:c r="F27" s="210"/>
      <x:c r="G27" s="210"/>
      <x:c r="H27" s="210"/>
    </x:row>
    <x:row r="28" ht="46" customHeight="1">
      <x:c r="A28" s="24" t="n">
        <x:v>17</x:v>
      </x:c>
      <x:c r="B28" s="24" t="str">
        <x:v>20</x:v>
      </x:c>
      <x:c r="C28" s="24" t="str">
        <x:v>Przepływy pieniężne</x:v>
      </x:c>
      <x:c r="D28" s="28" t="str">
        <x:v>EBITDA − podatek − zmiana NWC − CAPEX = FCF; odsetki pokazano osobno.</x:v>
      </x:c>
      <x:c r="E28" s="28" t="str">
        <x:v>Gotówka końcowa wynika z gotówki początkowej i FCF po odsetkach.</x:v>
      </x:c>
      <x:c r="F28" s="210"/>
      <x:c r="G28" s="210"/>
      <x:c r="H28" s="210"/>
    </x:row>
    <x:row r="29" ht="46" customHeight="1">
      <x:c r="A29" s="27" t="n">
        <x:v>18</x:v>
      </x:c>
      <x:c r="B29" s="27" t="str">
        <x:v>21-22</x:v>
      </x:c>
      <x:c r="C29" s="27" t="str">
        <x:v>Próg i scenariusze</x:v>
      </x:c>
      <x:c r="D29" s="29" t="str">
        <x:v>Próg rentowności opiera się na marży kontrybucyjnej; scenariusze przeliczają przychody, koszty, EBITDA i gotówkę.</x:v>
      </x:c>
      <x:c r="E29" s="29" t="str">
        <x:v>Optymistyczny i pesymistyczny nie zmieniają wykonania 2025.</x:v>
      </x:c>
      <x:c r="F29" s="210"/>
      <x:c r="G29" s="210"/>
      <x:c r="H29" s="210"/>
    </x:row>
    <x:row r="30" ht="46" customHeight="1">
      <x:c r="A30" s="24" t="n">
        <x:v>19</x:v>
      </x:c>
      <x:c r="B30" s="24" t="str">
        <x:v>23</x:v>
      </x:c>
      <x:c r="C30" s="24" t="str">
        <x:v>Panel zarządczy</x:v>
      </x:c>
      <x:c r="D30" s="28" t="str">
        <x:v>KPI i wykresy odpowiadają na pytania o realizację budżetu, marżę, plan, płynność i główne drivery.</x:v>
      </x:c>
      <x:c r="E30" s="28" t="str">
        <x:v>Wszystkie wykresy mają zakresy formułowe.</x:v>
      </x:c>
      <x:c r="F30" s="210"/>
      <x:c r="G30" s="210"/>
      <x:c r="H30" s="210"/>
    </x:row>
    <x:row r="31" ht="46" customHeight="1">
      <x:c r="A31" s="27" t="n">
        <x:v>20</x:v>
      </x:c>
      <x:c r="B31" s="27" t="str">
        <x:v>24-25</x:v>
      </x:c>
      <x:c r="C31" s="27" t="str">
        <x:v>Kontrole i wnioski</x:v>
      </x:c>
      <x:c r="D31" s="29" t="str">
        <x:v>Kontrole pokazują osobno wartość, oczekiwanie, różnicę, tolerancję i miejsce naprawy.</x:v>
      </x:c>
      <x:c r="E31" s="29" t="str">
        <x:v>PASS oznacza zgodność techniczną, nie akceptację biznesową.</x:v>
      </x:c>
      <x:c r="F31" s="210"/>
      <x:c r="G31" s="210"/>
      <x:c r="H31" s="210"/>
    </x:row>
    <x:row r="32">
      <x:c r="A32" s="210"/>
      <x:c r="B32" s="210"/>
      <x:c r="C32" s="210"/>
      <x:c r="D32" s="210"/>
      <x:c r="E32" s="210"/>
      <x:c r="F32" s="210"/>
      <x:c r="G32" s="210"/>
      <x:c r="H32" s="210"/>
    </x:row>
    <x:row r="33" ht="35" customHeight="1">
      <x:c r="A33" s="38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  <x:c r="B33" s="39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  <x:c r="C33" s="39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  <x:c r="D33" s="39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  <x:c r="E33" s="39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  <x:c r="F33" s="39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  <x:c r="G33" s="39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  <x:c r="H33" s="40" t="str">
        <x:v>Ważne: dane w skoroszycie uznano za już wyczyszczone. Model nie wraca do danych surowych i nie stosuje dodatkowych wyłączeń. Pełna tabela FAKT_Sprzedaz jest osadzona w modelu danych, dlatego model wykorzystuje rzeczywiste agregaty i osobno pokazuje kwotę bez przypisanego miesiąca.</x:v>
      </x:c>
    </x:row>
  </x:sheetData>
  <x:mergeCells>
    <x:mergeCell ref="A1:H1"/>
    <x:mergeCell ref="A2:H2"/>
    <x:mergeCell ref="D4:H4"/>
    <x:mergeCell ref="A10:H10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34" hidden="0" customWidth="1"/>
    <x:col min="8" max="8" width="54" hidden="0" customWidth="1"/>
  </x:cols>
  <x:sheetData>
    <x:row r="1">
      <x:c r="A1" s="216" t="str">
        <x:v>ZAŁOŻENIA I SCENARIUSZE</x:v>
      </x:c>
      <x:c r="B1" s="216"/>
      <x:c r="C1" s="216"/>
      <x:c r="D1" s="216"/>
      <x:c r="E1" s="216"/>
      <x:c r="F1" s="216"/>
      <x:c r="G1" s="216"/>
      <x:c r="H1" s="216"/>
    </x:row>
    <x:row r="2" ht="32" customHeight="1">
      <x:c r="A2" s="42" t="str">
        <x:v>Wartości w kolumnach B:D są edytowalne. Kolumna Aktywny reaguje na selektor scenariusza.</x:v>
      </x:c>
      <x:c r="B2" s="42"/>
      <x:c r="C2" s="42"/>
      <x:c r="D2" s="42"/>
      <x:c r="E2" s="42"/>
      <x:c r="F2" s="42"/>
      <x:c r="G2" s="42"/>
      <x:c r="H2" s="42"/>
    </x:row>
    <x:row r="3">
      <x:c r="A3" s="211" t="str">
        <x:v>Scenariusz aktywny</x:v>
      </x:c>
      <x:c r="B3" s="217" t="str">
        <x:v>Bazowy</x:v>
      </x:c>
      <x:c r="C3" s="210"/>
      <x:c r="D3" s="210"/>
      <x:c r="E3" s="210"/>
      <x:c r="F3" s="210"/>
      <x:c r="G3" s="210"/>
      <x:c r="H3" s="210"/>
    </x:row>
    <x:row r="4">
      <x:c r="A4" s="210"/>
      <x:c r="B4" s="210"/>
      <x:c r="C4" s="210"/>
      <x:c r="D4" s="210"/>
      <x:c r="E4" s="210"/>
      <x:c r="F4" s="210"/>
      <x:c r="G4" s="210"/>
      <x:c r="H4" s="210"/>
    </x:row>
    <x:row r="5" ht="32" customHeight="1">
      <x:c r="A5" s="21" t="str">
        <x:v>Parametr snake_case</x:v>
      </x:c>
      <x:c r="B5" s="21" t="str">
        <x:v>Bazowy</x:v>
      </x:c>
      <x:c r="C5" s="21" t="str">
        <x:v>Optymistyczny</x:v>
      </x:c>
      <x:c r="D5" s="21" t="str">
        <x:v>Pesymistyczny</x:v>
      </x:c>
      <x:c r="E5" s="21" t="str">
        <x:v>Aktywny</x:v>
      </x:c>
      <x:c r="F5" s="21" t="str">
        <x:v>Jednostka</x:v>
      </x:c>
      <x:c r="G5" s="21" t="str">
        <x:v>Zastosowanie</x:v>
      </x:c>
      <x:c r="H5" s="21" t="str">
        <x:v>Źródło / uzasadnienie</x:v>
      </x:c>
    </x:row>
    <x:row r="6" ht="32" customHeight="1">
      <x:c r="A6" s="24" t="str">
        <x:v>wzrost_wolumenu_proc</x:v>
      </x:c>
      <x:c r="B6" s="46" t="n">
        <x:v>0.05</x:v>
      </x:c>
      <x:c r="C6" s="46" t="n">
        <x:v>0.1</x:v>
      </x:c>
      <x:c r="D6" s="46" t="n">
        <x:v>-0.08</x:v>
      </x:c>
      <x:c r="E6" s="47" t="n">
        <x:f>IF($B$3="Bazowy",B6,IF($B$3="Optymistyczny",C6,D6))</x:f>
        <x:v>0.05</x:v>
      </x:c>
      <x:c r="F6" s="24" t="str">
        <x:v>%</x:v>
      </x:c>
      <x:c r="G6" s="28" t="str">
        <x:v>Plan przychodów i liczby zamówień</x:v>
      </x:c>
      <x:c r="H6" s="28" t="str">
        <x:v>Założenie projektu</x:v>
      </x:c>
    </x:row>
    <x:row r="7" ht="32" customHeight="1">
      <x:c r="A7" s="27" t="str">
        <x:v>wzrost_cen_proc</x:v>
      </x:c>
      <x:c r="B7" s="48" t="n">
        <x:v>0.04</x:v>
      </x:c>
      <x:c r="C7" s="48" t="n">
        <x:v>0.06</x:v>
      </x:c>
      <x:c r="D7" s="48" t="n">
        <x:v>0.01</x:v>
      </x:c>
      <x:c r="E7" s="49" t="n">
        <x:f>IF($B$3="Bazowy",B7,IF($B$3="Optymistyczny",C7,D7))</x:f>
        <x:v>0.04</x:v>
      </x:c>
      <x:c r="F7" s="27" t="str">
        <x:v>%</x:v>
      </x:c>
      <x:c r="G7" s="29" t="str">
        <x:v>Średnia wartość zamówienia</x:v>
      </x:c>
      <x:c r="H7" s="29" t="str">
        <x:v>Założenie projektu</x:v>
      </x:c>
    </x:row>
    <x:row r="8" ht="32" customHeight="1">
      <x:c r="A8" s="24" t="str">
        <x:v>inflacja_kosztow_zmiennych_proc</x:v>
      </x:c>
      <x:c r="B8" s="46" t="n">
        <x:v>0.05</x:v>
      </x:c>
      <x:c r="C8" s="46" t="n">
        <x:v>0.03</x:v>
      </x:c>
      <x:c r="D8" s="46" t="n">
        <x:v>0.1</x:v>
      </x:c>
      <x:c r="E8" s="47" t="n">
        <x:f>IF($B$3="Bazowy",B8,IF($B$3="Optymistyczny",C8,D8))</x:f>
        <x:v>0.05</x:v>
      </x:c>
      <x:c r="F8" s="24" t="str">
        <x:v>%</x:v>
      </x:c>
      <x:c r="G8" s="28" t="str">
        <x:v>KWS i koszty zmienne</x:v>
      </x:c>
      <x:c r="H8" s="28" t="str">
        <x:v>Założenie projektu</x:v>
      </x:c>
    </x:row>
    <x:row r="9" ht="32" customHeight="1">
      <x:c r="A9" s="27" t="str">
        <x:v>wzrost_wynagrodzen_proc</x:v>
      </x:c>
      <x:c r="B9" s="48" t="n">
        <x:v>0.07</x:v>
      </x:c>
      <x:c r="C9" s="48" t="n">
        <x:v>0.05</x:v>
      </x:c>
      <x:c r="D9" s="48" t="n">
        <x:v>0.1</x:v>
      </x:c>
      <x:c r="E9" s="49" t="n">
        <x:f>IF($B$3="Bazowy",B9,IF($B$3="Optymistyczny",C9,D9))</x:f>
        <x:v>0.07</x:v>
      </x:c>
      <x:c r="F9" s="27" t="str">
        <x:v>%</x:v>
      </x:c>
      <x:c r="G9" s="29" t="str">
        <x:v>Plan płac</x:v>
      </x:c>
      <x:c r="H9" s="29" t="str">
        <x:v>Założenie projektu</x:v>
      </x:c>
    </x:row>
    <x:row r="10" ht="32" customHeight="1">
      <x:c r="A10" s="24" t="str">
        <x:v>marketing_proc_przychodow</x:v>
      </x:c>
      <x:c r="B10" s="46" t="n">
        <x:v>0.04</x:v>
      </x:c>
      <x:c r="C10" s="46" t="n">
        <x:v>0.05</x:v>
      </x:c>
      <x:c r="D10" s="46" t="n">
        <x:v>0.03</x:v>
      </x:c>
      <x:c r="E10" s="47" t="n">
        <x:f>IF($B$3="Bazowy",B10,IF($B$3="Optymistyczny",C10,D10))</x:f>
        <x:v>0.04</x:v>
      </x:c>
      <x:c r="F10" s="24" t="str">
        <x:v>%</x:v>
      </x:c>
      <x:c r="G10" s="28" t="str">
        <x:v>Plan marketingu</x:v>
      </x:c>
      <x:c r="H10" s="28" t="str">
        <x:v>Założenie projektu</x:v>
      </x:c>
    </x:row>
    <x:row r="11" ht="32" customHeight="1">
      <x:c r="A11" s="27" t="str">
        <x:v>stawka_podatku_dochodowego_proc</x:v>
      </x:c>
      <x:c r="B11" s="48" t="n">
        <x:v>0.19</x:v>
      </x:c>
      <x:c r="C11" s="48" t="n">
        <x:v>0.19</x:v>
      </x:c>
      <x:c r="D11" s="48" t="n">
        <x:v>0.19</x:v>
      </x:c>
      <x:c r="E11" s="49" t="n">
        <x:f>IF($B$3="Bazowy",B11,IF($B$3="Optymistyczny",C11,D11))</x:f>
        <x:v>0.19</x:v>
      </x:c>
      <x:c r="F11" s="27" t="str">
        <x:v>%</x:v>
      </x:c>
      <x:c r="G11" s="29" t="str">
        <x:v>Podatek od dodatniego EBT</x:v>
      </x:c>
      <x:c r="H11" s="29" t="str">
        <x:v>Założenie projektu</x:v>
      </x:c>
    </x:row>
    <x:row r="12" ht="32" customHeight="1">
      <x:c r="A12" s="24" t="str">
        <x:v>okres_splaty_naleznosci_dni</x:v>
      </x:c>
      <x:c r="B12" s="44" t="n">
        <x:v>35</x:v>
      </x:c>
      <x:c r="C12" s="44" t="n">
        <x:v>30</x:v>
      </x:c>
      <x:c r="D12" s="44" t="n">
        <x:v>45</x:v>
      </x:c>
      <x:c r="E12" s="24" t="n">
        <x:f>IF($B$3="Bazowy",B12,IF($B$3="Optymistyczny",C12,D12))</x:f>
        <x:v>35</x:v>
      </x:c>
      <x:c r="F12" s="24" t="str">
        <x:v>dni</x:v>
      </x:c>
      <x:c r="G12" s="28" t="str">
        <x:v>Należności</x:v>
      </x:c>
      <x:c r="H12" s="28" t="str">
        <x:v>Założenie projektu</x:v>
      </x:c>
    </x:row>
    <x:row r="13" ht="32" customHeight="1">
      <x:c r="A13" s="27" t="str">
        <x:v>okres_utrzymania_zapasow_dni</x:v>
      </x:c>
      <x:c r="B13" s="45" t="n">
        <x:v>45</x:v>
      </x:c>
      <x:c r="C13" s="45" t="n">
        <x:v>40</x:v>
      </x:c>
      <x:c r="D13" s="45" t="n">
        <x:v>60</x:v>
      </x:c>
      <x:c r="E13" s="27" t="n">
        <x:f>IF($B$3="Bazowy",B13,IF($B$3="Optymistyczny",C13,D13))</x:f>
        <x:v>45</x:v>
      </x:c>
      <x:c r="F13" s="27" t="str">
        <x:v>dni</x:v>
      </x:c>
      <x:c r="G13" s="29" t="str">
        <x:v>Zapasy</x:v>
      </x:c>
      <x:c r="H13" s="29" t="str">
        <x:v>Założenie projektu</x:v>
      </x:c>
    </x:row>
    <x:row r="14" ht="32" customHeight="1">
      <x:c r="A14" s="24" t="str">
        <x:v>okres_splaty_zobowiazan_dni</x:v>
      </x:c>
      <x:c r="B14" s="44" t="n">
        <x:v>30</x:v>
      </x:c>
      <x:c r="C14" s="44" t="n">
        <x:v>35</x:v>
      </x:c>
      <x:c r="D14" s="44" t="n">
        <x:v>25</x:v>
      </x:c>
      <x:c r="E14" s="24" t="n">
        <x:f>IF($B$3="Bazowy",B14,IF($B$3="Optymistyczny",C14,D14))</x:f>
        <x:v>30</x:v>
      </x:c>
      <x:c r="F14" s="24" t="str">
        <x:v>dni</x:v>
      </x:c>
      <x:c r="G14" s="28" t="str">
        <x:v>Zobowiązania</x:v>
      </x:c>
      <x:c r="H14" s="28" t="str">
        <x:v>Założenie projektu</x:v>
      </x:c>
    </x:row>
    <x:row r="15" ht="32" customHeight="1">
      <x:c r="A15" s="27" t="str">
        <x:v>gotowka_poczatkowa_pln</x:v>
      </x:c>
      <x:c r="B15" s="50" t="n">
        <x:v>500000</x:v>
      </x:c>
      <x:c r="C15" s="50" t="n">
        <x:v>500000</x:v>
      </x:c>
      <x:c r="D15" s="50" t="n">
        <x:v>500000</x:v>
      </x:c>
      <x:c r="E15" s="51" t="n">
        <x:f>IF($B$3="Bazowy",B15,IF($B$3="Optymistyczny",C15,D15))</x:f>
        <x:v>500000</x:v>
      </x:c>
      <x:c r="F15" s="27" t="str">
        <x:v>PLN</x:v>
      </x:c>
      <x:c r="G15" s="29" t="str">
        <x:v>Stan gotówki na 1.01.2026</x:v>
      </x:c>
      <x:c r="H15" s="29" t="str">
        <x:v>Założenie projektu</x:v>
      </x:c>
    </x:row>
    <x:row r="16" ht="32" customHeight="1">
      <x:c r="A16" s="24" t="str">
        <x:v>narzuty_pracodawcy_proc</x:v>
      </x:c>
      <x:c r="B16" s="46" t="n">
        <x:v>0.2</x:v>
      </x:c>
      <x:c r="C16" s="46" t="n">
        <x:v>0.2</x:v>
      </x:c>
      <x:c r="D16" s="46" t="n">
        <x:v>0.2</x:v>
      </x:c>
      <x:c r="E16" s="47" t="n">
        <x:f>IF($B$3="Bazowy",B16,IF($B$3="Optymistyczny",C16,D16))</x:f>
        <x:v>0.2</x:v>
      </x:c>
      <x:c r="F16" s="24" t="str">
        <x:v>%</x:v>
      </x:c>
      <x:c r="G16" s="28" t="str">
        <x:v>Koszt pracodawcy</x:v>
      </x:c>
      <x:c r="H16" s="28" t="str">
        <x:v>Założenie projektu</x:v>
      </x:c>
    </x:row>
    <x:row r="17" ht="32" customHeight="1">
      <x:c r="A17" s="27" t="str">
        <x:v>koszt_obslugi_zamowienia_pln</x:v>
      </x:c>
      <x:c r="B17" s="50" t="n">
        <x:v>18</x:v>
      </x:c>
      <x:c r="C17" s="50" t="n">
        <x:v>16</x:v>
      </x:c>
      <x:c r="D17" s="50" t="n">
        <x:v>22</x:v>
      </x:c>
      <x:c r="E17" s="51" t="n">
        <x:f>IF($B$3="Bazowy",B17,IF($B$3="Optymistyczny",C17,D17))</x:f>
        <x:v>18</x:v>
      </x:c>
      <x:c r="F17" s="27" t="str">
        <x:v>PLN/zam.</x:v>
      </x:c>
      <x:c r="G17" s="29" t="str">
        <x:v>Koszt logistyczny</x:v>
      </x:c>
      <x:c r="H17" s="29" t="str">
        <x:v>Jawne założenie - brak agregatu kosztu dostawy w analizach</x:v>
      </x:c>
    </x:row>
    <x:row r="18" ht="32" customHeight="1">
      <x:c r="A18" s="24" t="str">
        <x:v>indeksacja_czynszu_proc</x:v>
      </x:c>
      <x:c r="B18" s="46" t="n">
        <x:v>0.05</x:v>
      </x:c>
      <x:c r="C18" s="46" t="n">
        <x:v>0.04</x:v>
      </x:c>
      <x:c r="D18" s="46" t="n">
        <x:v>0.08</x:v>
      </x:c>
      <x:c r="E18" s="47" t="n">
        <x:f>IF($B$3="Bazowy",B18,IF($B$3="Optymistyczny",C18,D18))</x:f>
        <x:v>0.05</x:v>
      </x:c>
      <x:c r="F18" s="24" t="str">
        <x:v>%</x:v>
      </x:c>
      <x:c r="G18" s="28" t="str">
        <x:v>Czynsz i media</x:v>
      </x:c>
      <x:c r="H18" s="28" t="str">
        <x:v>Założenie projektu</x:v>
      </x:c>
    </x:row>
    <x:row r="19" ht="32" customHeight="1">
      <x:c r="A19" s="27" t="str">
        <x:v>inflacja_pozostalych_kosztow_proc</x:v>
      </x:c>
      <x:c r="B19" s="48" t="n">
        <x:v>0.06</x:v>
      </x:c>
      <x:c r="C19" s="48" t="n">
        <x:v>0.04</x:v>
      </x:c>
      <x:c r="D19" s="48" t="n">
        <x:v>0.1</x:v>
      </x:c>
      <x:c r="E19" s="49" t="n">
        <x:f>IF($B$3="Bazowy",B19,IF($B$3="Optymistyczny",C19,D19))</x:f>
        <x:v>0.06</x:v>
      </x:c>
      <x:c r="F19" s="27" t="str">
        <x:v>%</x:v>
      </x:c>
      <x:c r="G19" s="29" t="str">
        <x:v>IT, usługi, podróże i pozostały OPEX</x:v>
      </x:c>
      <x:c r="H19" s="29" t="str">
        <x:v>Założenie projektu</x:v>
      </x:c>
    </x:row>
    <x:row r="20" ht="32" customHeight="1">
      <x:c r="A20" s="24" t="str">
        <x:v>korekta_prognozy_wolumenu_proc</x:v>
      </x:c>
      <x:c r="B20" s="46" t="n">
        <x:v>-0.02</x:v>
      </x:c>
      <x:c r="C20" s="46" t="n">
        <x:v>0.03</x:v>
      </x:c>
      <x:c r="D20" s="46" t="n">
        <x:v>-0.08</x:v>
      </x:c>
      <x:c r="E20" s="47" t="n">
        <x:f>IF($B$3="Bazowy",B20,IF($B$3="Optymistyczny",C20,D20))</x:f>
        <x:v>-0.02</x:v>
      </x:c>
      <x:c r="F20" s="24" t="str">
        <x:v>%</x:v>
      </x:c>
      <x:c r="G20" s="28" t="str">
        <x:v>Dodatkowa korekta scenariusza</x:v>
      </x:c>
      <x:c r="H20" s="28" t="str">
        <x:v>Założenie projektu</x:v>
      </x:c>
    </x:row>
    <x:row r="21" ht="32" customHeight="1">
      <x:c r="A21" s="27" t="str">
        <x:v>korekta_prognozy_cen_proc</x:v>
      </x:c>
      <x:c r="B21" s="48" t="n">
        <x:v>0</x:v>
      </x:c>
      <x:c r="C21" s="48" t="n">
        <x:v>0.01</x:v>
      </x:c>
      <x:c r="D21" s="48" t="n">
        <x:v>-0.02</x:v>
      </x:c>
      <x:c r="E21" s="49" t="n">
        <x:f>IF($B$3="Bazowy",B21,IF($B$3="Optymistyczny",C21,D21))</x:f>
        <x:v>0</x:v>
      </x:c>
      <x:c r="F21" s="27" t="str">
        <x:v>%</x:v>
      </x:c>
      <x:c r="G21" s="29" t="str">
        <x:v>Dodatkowa korekta ceny</x:v>
      </x:c>
      <x:c r="H21" s="29" t="str">
        <x:v>Założenie projektu</x:v>
      </x:c>
    </x:row>
    <x:row r="22" ht="32" customHeight="1">
      <x:c r="A22" s="24" t="str">
        <x:v>korekta_prognozy_kosztow_stalych_proc</x:v>
      </x:c>
      <x:c r="B22" s="46" t="n">
        <x:v>0.03</x:v>
      </x:c>
      <x:c r="C22" s="46" t="n">
        <x:v>0.01</x:v>
      </x:c>
      <x:c r="D22" s="46" t="n">
        <x:v>0.07</x:v>
      </x:c>
      <x:c r="E22" s="47" t="n">
        <x:f>IF($B$3="Bazowy",B22,IF($B$3="Optymistyczny",C22,D22))</x:f>
        <x:v>0.03</x:v>
      </x:c>
      <x:c r="F22" s="24" t="str">
        <x:v>%</x:v>
      </x:c>
      <x:c r="G22" s="28" t="str">
        <x:v>Dodatkowa korekta kosztów stałych</x:v>
      </x:c>
      <x:c r="H22" s="28" t="str">
        <x:v>Założenie projektu</x:v>
      </x:c>
    </x:row>
    <x:row r="23" ht="32" customHeight="1">
      <x:c r="A23" s="27" t="str">
        <x:v>koszt_odsetek_miesieczny_pln</x:v>
      </x:c>
      <x:c r="B23" s="50" t="n">
        <x:v>5000</x:v>
      </x:c>
      <x:c r="C23" s="50" t="n">
        <x:v>5000</x:v>
      </x:c>
      <x:c r="D23" s="50" t="n">
        <x:v>5500</x:v>
      </x:c>
      <x:c r="E23" s="51" t="n">
        <x:f>IF($B$3="Bazowy",B23,IF($B$3="Optymistyczny",C23,D23))</x:f>
        <x:v>5000</x:v>
      </x:c>
      <x:c r="F23" s="27" t="str">
        <x:v>PLN/mies.</x:v>
      </x:c>
      <x:c r="G23" s="29" t="str">
        <x:v>Koszt finansowy poniżej EBIT</x:v>
      </x:c>
      <x:c r="H23" s="29" t="str">
        <x:v>Miesięczna kwota, nie stopa</x:v>
      </x:c>
    </x:row>
    <x:row r="24" ht="32" customHeight="1">
      <x:c r="A24" s="24" t="str">
        <x:v>tolerancja_odchylenia_proc</x:v>
      </x:c>
      <x:c r="B24" s="46" t="n">
        <x:v>0.03</x:v>
      </x:c>
      <x:c r="C24" s="46" t="n">
        <x:v>0.03</x:v>
      </x:c>
      <x:c r="D24" s="46" t="n">
        <x:v>0.03</x:v>
      </x:c>
      <x:c r="E24" s="47" t="n">
        <x:f>IF($B$3="Bazowy",B24,IF($B$3="Optymistyczny",C24,D24))</x:f>
        <x:v>0.03</x:v>
      </x:c>
      <x:c r="F24" s="24" t="str">
        <x:v>%</x:v>
      </x:c>
      <x:c r="G24" s="28" t="str">
        <x:v>Status odchylenia</x:v>
      </x:c>
      <x:c r="H24" s="28" t="str">
        <x:v>Założenie projektu</x:v>
      </x:c>
    </x:row>
    <x:row r="25" ht="32" customHeight="1">
      <x:c r="A25" s="27" t="str">
        <x:v>stopa_zwrotow_ujetych_proc</x:v>
      </x:c>
      <x:c r="B25" s="48" t="n">
        <x:v>0.02620672207004912</x:v>
      </x:c>
      <x:c r="C25" s="48" t="n">
        <x:v>0.02620672207004912</x:v>
      </x:c>
      <x:c r="D25" s="48" t="n">
        <x:v>0.02620672207004912</x:v>
      </x:c>
      <x:c r="E25" s="49" t="n">
        <x:f>IF($B$3="Bazowy",B25,IF($B$3="Optymistyczny",C25,D25))</x:f>
        <x:v>0.02620672207004912</x:v>
      </x:c>
      <x:c r="F25" s="27" t="str">
        <x:v>%</x:v>
      </x:c>
      <x:c r="G25" s="29" t="str">
        <x:v>Pomniejszenie przychodu w P&amp;L</x:v>
      </x:c>
      <x:c r="H25" s="29" t="str">
        <x:v>DASHBOARD: Kwota zwrotów / Przychód zrealizowany</x:v>
      </x:c>
    </x:row>
    <x:row r="26" ht="32" customHeight="1">
      <x:c r="A26" s="24" t="str">
        <x:v>marketing_wykonanie_proc</x:v>
      </x:c>
      <x:c r="B26" s="46" t="n">
        <x:v>0.036</x:v>
      </x:c>
      <x:c r="C26" s="46" t="n">
        <x:v>0.036</x:v>
      </x:c>
      <x:c r="D26" s="46" t="n">
        <x:v>0.036</x:v>
      </x:c>
      <x:c r="E26" s="47" t="n">
        <x:f>IF($B$3="Bazowy",B26,IF($B$3="Optymistyczny",C26,D26))</x:f>
        <x:v>0.036</x:v>
      </x:c>
      <x:c r="F26" s="24" t="str">
        <x:v>%</x:v>
      </x:c>
      <x:c r="G26" s="28" t="str">
        <x:v>Marketing wykonania 2025</x:v>
      </x:c>
      <x:c r="H26" s="28" t="str">
        <x:v>Jawne założenie projektu</x:v>
      </x:c>
    </x:row>
    <x:row r="27" ht="32" customHeight="1">
      <x:c r="A27" s="27" t="str">
        <x:v>koszt_obslugi_zamowienia_2025_pln</x:v>
      </x:c>
      <x:c r="B27" s="50" t="n">
        <x:v>17</x:v>
      </x:c>
      <x:c r="C27" s="50" t="n">
        <x:v>17</x:v>
      </x:c>
      <x:c r="D27" s="50" t="n">
        <x:v>17</x:v>
      </x:c>
      <x:c r="E27" s="51" t="n">
        <x:f>IF($B$3="Bazowy",B27,IF($B$3="Optymistyczny",C27,D27))</x:f>
        <x:v>17</x:v>
      </x:c>
      <x:c r="F27" s="27" t="str">
        <x:v>PLN/zam.</x:v>
      </x:c>
      <x:c r="G27" s="29" t="str">
        <x:v>Logistyka wykonania 2025</x:v>
      </x:c>
      <x:c r="H27" s="29" t="str">
        <x:v>Jawne założenie modelowe</x:v>
      </x:c>
    </x:row>
    <x:row r="28" ht="32" customHeight="1">
      <x:c r="A28" s="24" t="str">
        <x:v>czynsz_miesieczny_2025_pln</x:v>
      </x:c>
      <x:c r="B28" s="52" t="n">
        <x:v>15000</x:v>
      </x:c>
      <x:c r="C28" s="52" t="n">
        <x:v>15000</x:v>
      </x:c>
      <x:c r="D28" s="52" t="n">
        <x:v>15000</x:v>
      </x:c>
      <x:c r="E28" s="53" t="n">
        <x:f>IF($B$3="Bazowy",B28,IF($B$3="Optymistyczny",C28,D28))</x:f>
        <x:v>15000</x:v>
      </x:c>
      <x:c r="F28" s="24" t="str">
        <x:v>PLN/mies.</x:v>
      </x:c>
      <x:c r="G28" s="28" t="str">
        <x:v>Czynsz i media 2025</x:v>
      </x:c>
      <x:c r="H28" s="28" t="str">
        <x:v>Jawne założenie projektu</x:v>
      </x:c>
    </x:row>
    <x:row r="29" ht="32" customHeight="1">
      <x:c r="A29" s="27" t="str">
        <x:v>it_miesiecznie_2025_pln</x:v>
      </x:c>
      <x:c r="B29" s="50" t="n">
        <x:v>5500</x:v>
      </x:c>
      <x:c r="C29" s="50" t="n">
        <x:v>5500</x:v>
      </x:c>
      <x:c r="D29" s="50" t="n">
        <x:v>5500</x:v>
      </x:c>
      <x:c r="E29" s="51" t="n">
        <x:f>IF($B$3="Bazowy",B29,IF($B$3="Optymistyczny",C29,D29))</x:f>
        <x:v>5500</x:v>
      </x:c>
      <x:c r="F29" s="27" t="str">
        <x:v>PLN/mies.</x:v>
      </x:c>
      <x:c r="G29" s="29" t="str">
        <x:v>Koszty IT 2025</x:v>
      </x:c>
      <x:c r="H29" s="29" t="str">
        <x:v>Jawne założenie projektu</x:v>
      </x:c>
    </x:row>
    <x:row r="30" ht="32" customHeight="1">
      <x:c r="A30" s="24" t="str">
        <x:v>uslugi_miesiecznie_2025_pln</x:v>
      </x:c>
      <x:c r="B30" s="52" t="n">
        <x:v>2500</x:v>
      </x:c>
      <x:c r="C30" s="52" t="n">
        <x:v>2500</x:v>
      </x:c>
      <x:c r="D30" s="52" t="n">
        <x:v>2500</x:v>
      </x:c>
      <x:c r="E30" s="53" t="n">
        <x:f>IF($B$3="Bazowy",B30,IF($B$3="Optymistyczny",C30,D30))</x:f>
        <x:v>2500</x:v>
      </x:c>
      <x:c r="F30" s="24" t="str">
        <x:v>PLN/mies.</x:v>
      </x:c>
      <x:c r="G30" s="28" t="str">
        <x:v>Usługi profesjonalne 2025</x:v>
      </x:c>
      <x:c r="H30" s="28" t="str">
        <x:v>Jawne założenie projektu</x:v>
      </x:c>
    </x:row>
    <x:row r="31" ht="32" customHeight="1">
      <x:c r="A31" s="27" t="str">
        <x:v>podroze_miesiecznie_2025_pln</x:v>
      </x:c>
      <x:c r="B31" s="50" t="n">
        <x:v>1200</x:v>
      </x:c>
      <x:c r="C31" s="50" t="n">
        <x:v>1200</x:v>
      </x:c>
      <x:c r="D31" s="50" t="n">
        <x:v>1200</x:v>
      </x:c>
      <x:c r="E31" s="51" t="n">
        <x:f>IF($B$3="Bazowy",B31,IF($B$3="Optymistyczny",C31,D31))</x:f>
        <x:v>1200</x:v>
      </x:c>
      <x:c r="F31" s="27" t="str">
        <x:v>PLN/mies.</x:v>
      </x:c>
      <x:c r="G31" s="29" t="str">
        <x:v>Podróże 2025</x:v>
      </x:c>
      <x:c r="H31" s="29" t="str">
        <x:v>Jawne założenie projektu</x:v>
      </x:c>
    </x:row>
    <x:row r="32" ht="32" customHeight="1">
      <x:c r="A32" s="24" t="str">
        <x:v>pozostaly_opex_miesiecznie_2025_pln</x:v>
      </x:c>
      <x:c r="B32" s="52" t="n">
        <x:v>1800</x:v>
      </x:c>
      <x:c r="C32" s="52" t="n">
        <x:v>1800</x:v>
      </x:c>
      <x:c r="D32" s="52" t="n">
        <x:v>1800</x:v>
      </x:c>
      <x:c r="E32" s="53" t="n">
        <x:f>IF($B$3="Bazowy",B32,IF($B$3="Optymistyczny",C32,D32))</x:f>
        <x:v>1800</x:v>
      </x:c>
      <x:c r="F32" s="24" t="str">
        <x:v>PLN/mies.</x:v>
      </x:c>
      <x:c r="G32" s="28" t="str">
        <x:v>Pozostały OPEX 2025</x:v>
      </x:c>
      <x:c r="H32" s="28" t="str">
        <x:v>Jawne założenie projektu</x:v>
      </x:c>
    </x:row>
    <x:row r="33" ht="32" customHeight="1">
      <x:c r="A33" s="27" t="str">
        <x:v>minimalny_zapas_szt</x:v>
      </x:c>
      <x:c r="B33" s="45" t="n">
        <x:v>25</x:v>
      </x:c>
      <x:c r="C33" s="45" t="n">
        <x:v>20</x:v>
      </x:c>
      <x:c r="D33" s="45" t="n">
        <x:v>35</x:v>
      </x:c>
      <x:c r="E33" s="27" t="n">
        <x:f>IF($B$3="Bazowy",B33,IF($B$3="Optymistyczny",C33,D33))</x:f>
        <x:v>25</x:v>
      </x:c>
      <x:c r="F33" s="27" t="str">
        <x:v>szt.</x:v>
      </x:c>
      <x:c r="G33" s="29" t="str">
        <x:v>Status zapasu</x:v>
      </x:c>
      <x:c r="H33" s="29" t="str">
        <x:v>Próg kontrolny modelu</x:v>
      </x:c>
    </x:row>
    <x:row r="34">
      <x:c r="A34" s="210"/>
      <x:c r="B34" s="210"/>
      <x:c r="C34" s="210"/>
      <x:c r="D34" s="210"/>
      <x:c r="E34" s="210"/>
      <x:c r="F34" s="210"/>
      <x:c r="G34" s="210"/>
      <x:c r="H34" s="210"/>
    </x:row>
    <x:row r="35" ht="35" customHeight="1">
      <x:c r="A35" s="38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  <x:c r="B35" s="39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  <x:c r="C35" s="39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  <x:c r="D35" s="39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  <x:c r="E35" s="39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  <x:c r="F35" s="39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  <x:c r="G35" s="39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  <x:c r="H35" s="40" t="str">
        <x:v>Odsetki są miesięczną kwotą w PLN i znajdują się poniżej EBIT. Parametry OPEX 2025 są jawnie oznaczone jako założenia, ponieważ skoroszyt źródłowy zawiera sprzedaż, marżę, budżet, zwroty i magazyn, ale nie pełną księgę kosztów operacyjnych.</x:v>
      </x:c>
    </x:row>
  </x:sheetData>
  <x:mergeCells>
    <x:mergeCell ref="A1:H1"/>
    <x:mergeCell ref="A2:H2"/>
    <x:mergeCell ref="A35:H35"/>
  </x:mergeCells>
  <x:dataValidations count="1">
    <x:dataValidation type="list" sqref="B3">
      <x:formula1>"Bazowy,Optymistyczny,Pesymistyczny"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9" hidden="0" customWidth="1"/>
    <x:col min="9" max="9" width="19" hidden="0" customWidth="1"/>
  </x:cols>
  <x:sheetData>
    <x:row r="1">
      <x:c r="A1" s="218" t="str">
        <x:v>ŹRÓDŁO - MIESIĄCE 2025</x:v>
      </x:c>
      <x:c r="B1" s="218"/>
      <x:c r="C1" s="218"/>
      <x:c r="D1" s="218"/>
      <x:c r="E1" s="218"/>
      <x:c r="F1" s="218"/>
      <x:c r="G1" s="218"/>
      <x:c r="H1" s="218"/>
      <x:c r="I1" s="218"/>
    </x:row>
    <x:row r="2" ht="32" customHeight="1">
      <x:c r="A2" s="42" t="str">
        <x:v>Dane z ANALIZA_Czas. Wyłączenia sprzedaży i budżetu pochodzą wyłącznie z arkuszy KONTROLA_Sprzedaz i KONTROLA_Budzet.</x:v>
      </x:c>
      <x:c r="B2" s="42"/>
      <x:c r="C2" s="42"/>
      <x:c r="D2" s="42"/>
      <x:c r="E2" s="42"/>
      <x:c r="F2" s="42"/>
      <x:c r="G2" s="42"/>
      <x:c r="H2" s="42"/>
      <x:c r="I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</x:row>
    <x:row r="4" ht="32" customHeight="1">
      <x:c r="A4" s="21" t="str">
        <x:v>Miesiąc</x:v>
      </x:c>
      <x:c r="B4" s="21" t="str">
        <x:v>Przychód źródłowy</x:v>
      </x:c>
      <x:c r="C4" s="21" t="str">
        <x:v>Wyłączenia kontroli</x:v>
      </x:c>
      <x:c r="D4" s="21" t="str">
        <x:v>Przychód czysty</x:v>
      </x:c>
      <x:c r="E4" s="21" t="str">
        <x:v>Budżet źródłowy</x:v>
      </x:c>
      <x:c r="F4" s="21" t="str">
        <x:v>Wyłączenia budżetu</x:v>
      </x:c>
      <x:c r="G4" s="21" t="str">
        <x:v>Budżet czysty</x:v>
      </x:c>
      <x:c r="H4" s="21" t="str">
        <x:v>Odchylenie</x:v>
      </x:c>
      <x:c r="I4" s="21" t="str">
        <x:v>Realizacja budżetu</x:v>
      </x:c>
    </x:row>
    <x:row r="5">
      <x:c r="A5" s="59" t="n">
        <x:v>45658</x:v>
      </x:c>
      <x:c r="B5" s="53" t="n">
        <x:v>264509.592</x:v>
      </x:c>
      <x:c r="C5" s="53" t="n">
        <x:v>1405.8</x:v>
      </x:c>
      <x:c r="D5" s="53" t="n">
        <x:f>B5-C5</x:f>
        <x:v>263103.792</x:v>
      </x:c>
      <x:c r="E5" s="53" t="n">
        <x:v>380693.48</x:v>
      </x:c>
      <x:c r="F5" s="53" t="n">
        <x:v>0</x:v>
      </x:c>
      <x:c r="G5" s="53" t="n">
        <x:f>E5-F5</x:f>
        <x:v>380693.48</x:v>
      </x:c>
      <x:c r="H5" s="53" t="n">
        <x:f>D5-G5</x:f>
        <x:v>-117589.68799999997</x:v>
      </x:c>
      <x:c r="I5" s="47" t="n">
        <x:f>IFERROR(D5/G5,0)</x:f>
        <x:v>0.6911171475802528</x:v>
      </x:c>
    </x:row>
    <x:row r="6">
      <x:c r="A6" s="60" t="n">
        <x:v>45689</x:v>
      </x:c>
      <x:c r="B6" s="51" t="n">
        <x:v>292596.9099999999</x:v>
      </x:c>
      <x:c r="C6" s="51" t="n">
        <x:v>0</x:v>
      </x:c>
      <x:c r="D6" s="51" t="n">
        <x:f>B6-C6</x:f>
        <x:v>292596.9099999999</x:v>
      </x:c>
      <x:c r="E6" s="51" t="n">
        <x:v>382320.38</x:v>
      </x:c>
      <x:c r="F6" s="51" t="n">
        <x:v>24051.08</x:v>
      </x:c>
      <x:c r="G6" s="51" t="n">
        <x:f>E6-F6</x:f>
        <x:v>358269.3</x:v>
      </x:c>
      <x:c r="H6" s="51" t="n">
        <x:f>D6-G6</x:f>
        <x:v>-65672.39000000007</x:v>
      </x:c>
      <x:c r="I6" s="49" t="n">
        <x:f>IFERROR(D6/G6,0)</x:f>
        <x:v>0.816695457858097</x:v>
      </x:c>
    </x:row>
    <x:row r="7">
      <x:c r="A7" s="59" t="n">
        <x:v>45717</x:v>
      </x:c>
      <x:c r="B7" s="53" t="n">
        <x:v>249990.11150000003</x:v>
      </x:c>
      <x:c r="C7" s="53" t="n">
        <x:v>263.5725</x:v>
      </x:c>
      <x:c r="D7" s="53" t="n">
        <x:f>B7-C7</x:f>
        <x:v>249726.53900000002</x:v>
      </x:c>
      <x:c r="E7" s="53" t="n">
        <x:v>472479.08</x:v>
      </x:c>
      <x:c r="F7" s="53" t="n">
        <x:v>15978.97</x:v>
      </x:c>
      <x:c r="G7" s="53" t="n">
        <x:f>E7-F7</x:f>
        <x:v>456500.11000000004</x:v>
      </x:c>
      <x:c r="H7" s="53" t="n">
        <x:f>D7-G7</x:f>
        <x:v>-206773.57100000003</x:v>
      </x:c>
      <x:c r="I7" s="47" t="n">
        <x:f>IFERROR(D7/G7,0)</x:f>
        <x:v>0.5470459558049175</x:v>
      </x:c>
    </x:row>
    <x:row r="8">
      <x:c r="A8" s="60" t="n">
        <x:v>45748</x:v>
      </x:c>
      <x:c r="B8" s="51" t="n">
        <x:v>315484.94100000005</x:v>
      </x:c>
      <x:c r="C8" s="51" t="n">
        <x:v>260.338</x:v>
      </x:c>
      <x:c r="D8" s="51" t="n">
        <x:f>B8-C8</x:f>
        <x:v>315224.60300000006</x:v>
      </x:c>
      <x:c r="E8" s="51" t="n">
        <x:v>461782.93</x:v>
      </x:c>
      <x:c r="F8" s="51" t="n">
        <x:v>50929.97</x:v>
      </x:c>
      <x:c r="G8" s="51" t="n">
        <x:f>E8-F8</x:f>
        <x:v>410852.95999999996</x:v>
      </x:c>
      <x:c r="H8" s="51" t="n">
        <x:f>D8-G8</x:f>
        <x:v>-95628.3569999999</x:v>
      </x:c>
      <x:c r="I8" s="49" t="n">
        <x:f>IFERROR(D8/G8,0)</x:f>
        <x:v>0.7672443275083136</x:v>
      </x:c>
    </x:row>
    <x:row r="9">
      <x:c r="A9" s="59" t="n">
        <x:v>45778</x:v>
      </x:c>
      <x:c r="B9" s="53" t="n">
        <x:v>265575.8819999999</x:v>
      </x:c>
      <x:c r="C9" s="53" t="n">
        <x:v>1391.32</x:v>
      </x:c>
      <x:c r="D9" s="53" t="n">
        <x:f>B9-C9</x:f>
        <x:v>264184.5619999999</x:v>
      </x:c>
      <x:c r="E9" s="53" t="n">
        <x:v>459881.2</x:v>
      </x:c>
      <x:c r="F9" s="53" t="n">
        <x:v>93690.58</x:v>
      </x:c>
      <x:c r="G9" s="53" t="n">
        <x:f>E9-F9</x:f>
        <x:v>366190.62</x:v>
      </x:c>
      <x:c r="H9" s="53" t="n">
        <x:f>D9-G9</x:f>
        <x:v>-102006.05800000008</x:v>
      </x:c>
      <x:c r="I9" s="47" t="n">
        <x:f>IFERROR(D9/G9,0)</x:f>
        <x:v>0.7214400030235617</x:v>
      </x:c>
    </x:row>
    <x:row r="10">
      <x:c r="A10" s="60" t="n">
        <x:v>45809</x:v>
      </x:c>
      <x:c r="B10" s="51" t="n">
        <x:v>313946.3375000001</x:v>
      </x:c>
      <x:c r="C10" s="51" t="n">
        <x:v>4940.633</x:v>
      </x:c>
      <x:c r="D10" s="51" t="n">
        <x:f>B10-C10</x:f>
        <x:v>309005.7045000001</x:v>
      </x:c>
      <x:c r="E10" s="51" t="n">
        <x:v>488055.73</x:v>
      </x:c>
      <x:c r="F10" s="51" t="n">
        <x:v>38442.76</x:v>
      </x:c>
      <x:c r="G10" s="51" t="n">
        <x:f>E10-F10</x:f>
        <x:v>449612.97</x:v>
      </x:c>
      <x:c r="H10" s="51" t="n">
        <x:f>D10-G10</x:f>
        <x:v>-140607.26549999986</x:v>
      </x:c>
      <x:c r="I10" s="49" t="n">
        <x:f>IFERROR(D10/G10,0)</x:f>
        <x:v>0.687270441731252</x:v>
      </x:c>
    </x:row>
    <x:row r="11">
      <x:c r="A11" s="59" t="n">
        <x:v>45839</x:v>
      </x:c>
      <x:c r="B11" s="53" t="n">
        <x:v>335508.3610000001</x:v>
      </x:c>
      <x:c r="C11" s="53" t="n">
        <x:v>0</x:v>
      </x:c>
      <x:c r="D11" s="53" t="n">
        <x:f>B11-C11</x:f>
        <x:v>335508.3610000001</x:v>
      </x:c>
      <x:c r="E11" s="53" t="n">
        <x:v>485113.68</x:v>
      </x:c>
      <x:c r="F11" s="53" t="n">
        <x:v>4663.34</x:v>
      </x:c>
      <x:c r="G11" s="53" t="n">
        <x:f>E11-F11</x:f>
        <x:v>480450.33999999997</x:v>
      </x:c>
      <x:c r="H11" s="53" t="n">
        <x:f>D11-G11</x:f>
        <x:v>-144941.97899999988</x:v>
      </x:c>
      <x:c r="I11" s="47" t="n">
        <x:f>IFERROR(D11/G11,0)</x:f>
        <x:v>0.6983205818940624</x:v>
      </x:c>
    </x:row>
    <x:row r="12">
      <x:c r="A12" s="60" t="n">
        <x:v>45870</x:v>
      </x:c>
      <x:c r="B12" s="51" t="n">
        <x:v>306457.6669999999</x:v>
      </x:c>
      <x:c r="C12" s="51" t="n">
        <x:v>1263.06</x:v>
      </x:c>
      <x:c r="D12" s="51" t="n">
        <x:f>B12-C12</x:f>
        <x:v>305194.6069999999</x:v>
      </x:c>
      <x:c r="E12" s="51" t="n">
        <x:v>477402.36</x:v>
      </x:c>
      <x:c r="F12" s="51" t="n">
        <x:v>7158.14</x:v>
      </x:c>
      <x:c r="G12" s="51" t="n">
        <x:f>E12-F12</x:f>
        <x:v>470244.22</x:v>
      </x:c>
      <x:c r="H12" s="51" t="n">
        <x:f>D12-G12</x:f>
        <x:v>-165049.61300000007</x:v>
      </x:c>
      <x:c r="I12" s="49" t="n">
        <x:f>IFERROR(D12/G12,0)</x:f>
        <x:v>0.6490129894632196</x:v>
      </x:c>
    </x:row>
    <x:row r="13">
      <x:c r="A13" s="59" t="n">
        <x:v>45901</x:v>
      </x:c>
      <x:c r="B13" s="53" t="n">
        <x:v>353748.3675</x:v>
      </x:c>
      <x:c r="C13" s="53" t="n">
        <x:v>705.886</x:v>
      </x:c>
      <x:c r="D13" s="53" t="n">
        <x:f>B13-C13</x:f>
        <x:v>353042.4815</x:v>
      </x:c>
      <x:c r="E13" s="53" t="n">
        <x:v>467088.18</x:v>
      </x:c>
      <x:c r="F13" s="53" t="n">
        <x:v>0</x:v>
      </x:c>
      <x:c r="G13" s="53" t="n">
        <x:f>E13-F13</x:f>
        <x:v>467088.18</x:v>
      </x:c>
      <x:c r="H13" s="53" t="n">
        <x:f>D13-G13</x:f>
        <x:v>-114045.6985</x:v>
      </x:c>
      <x:c r="I13" s="47" t="n">
        <x:f>IFERROR(D13/G13,0)</x:f>
        <x:v>0.7558368989341584</x:v>
      </x:c>
    </x:row>
    <x:row r="14">
      <x:c r="A14" s="60" t="n">
        <x:v>45931</x:v>
      </x:c>
      <x:c r="B14" s="51" t="n">
        <x:v>297971.86499999993</x:v>
      </x:c>
      <x:c r="C14" s="51" t="n">
        <x:v>3806.31</x:v>
      </x:c>
      <x:c r="D14" s="51" t="n">
        <x:f>B14-C14</x:f>
        <x:v>294165.55499999993</x:v>
      </x:c>
      <x:c r="E14" s="51" t="n">
        <x:v>464482.35</x:v>
      </x:c>
      <x:c r="F14" s="51" t="n">
        <x:v>17774.18</x:v>
      </x:c>
      <x:c r="G14" s="51" t="n">
        <x:f>E14-F14</x:f>
        <x:v>446708.17</x:v>
      </x:c>
      <x:c r="H14" s="51" t="n">
        <x:f>D14-G14</x:f>
        <x:v>-152542.61500000005</x:v>
      </x:c>
      <x:c r="I14" s="49" t="n">
        <x:f>IFERROR(D14/G14,0)</x:f>
        <x:v>0.6585184125913792</x:v>
      </x:c>
    </x:row>
    <x:row r="15">
      <x:c r="A15" s="59" t="n">
        <x:v>45962</x:v>
      </x:c>
      <x:c r="B15" s="53" t="n">
        <x:v>307990.59350000013</x:v>
      </x:c>
      <x:c r="C15" s="53" t="n">
        <x:v>2465.884</x:v>
      </x:c>
      <x:c r="D15" s="53" t="n">
        <x:f>B15-C15</x:f>
        <x:v>305524.7095000001</x:v>
      </x:c>
      <x:c r="E15" s="53" t="n">
        <x:v>619675.08</x:v>
      </x:c>
      <x:c r="F15" s="53" t="n">
        <x:v>22933.34</x:v>
      </x:c>
      <x:c r="G15" s="53" t="n">
        <x:f>E15-F15</x:f>
        <x:v>596741.74</x:v>
      </x:c>
      <x:c r="H15" s="53" t="n">
        <x:f>D15-G15</x:f>
        <x:v>-291217.0304999999</x:v>
      </x:c>
      <x:c r="I15" s="47" t="n">
        <x:f>IFERROR(D15/G15,0)</x:f>
        <x:v>0.5119881667737874</x:v>
      </x:c>
    </x:row>
    <x:row r="16">
      <x:c r="A16" s="60" t="n">
        <x:v>45992</x:v>
      </x:c>
      <x:c r="B16" s="51" t="n">
        <x:v>232466.779</x:v>
      </x:c>
      <x:c r="C16" s="51" t="n">
        <x:v>8280.685</x:v>
      </x:c>
      <x:c r="D16" s="51" t="n">
        <x:f>B16-C16</x:f>
        <x:v>224186.094</x:v>
      </x:c>
      <x:c r="E16" s="51" t="n">
        <x:v>625106.49</x:v>
      </x:c>
      <x:c r="F16" s="51" t="n">
        <x:v>46083.8</x:v>
      </x:c>
      <x:c r="G16" s="51" t="n">
        <x:f>E16-F16</x:f>
        <x:v>579022.69</x:v>
      </x:c>
      <x:c r="H16" s="51" t="n">
        <x:f>D16-G16</x:f>
        <x:v>-354836.5959999999</x:v>
      </x:c>
      <x:c r="I16" s="49" t="n">
        <x:f>IFERROR(D16/G16,0)</x:f>
        <x:v>0.3871801535100464</x:v>
      </x:c>
    </x:row>
    <x:row r="17">
      <x:c r="A17" s="55" t="str">
        <x:v>Poza osią miesięczną</x:v>
      </x:c>
      <x:c r="B17" s="61" t="n">
        <x:f>'03_ZRODLO_KATEGORIE'!B10-SUM(B5:B16)</x:f>
        <x:v>33268.83200000087</x:v>
      </x:c>
      <x:c r="C17" s="61" t="n">
        <x:f>'03_ZRODLO_KATEGORIE'!C10-SUM(C5:C16)</x:f>
        <x:v>30040.72299999999</x:v>
      </x:c>
      <x:c r="D17" s="61" t="n">
        <x:f>B17-C17</x:f>
        <x:v>3228.109000000877</x:v>
      </x:c>
      <x:c r="E17" s="61" t="n">
        <x:f>'03_ZRODLO_KATEGORIE'!L10-SUM(E5:E16)</x:f>
        <x:v>120000</x:v>
      </x:c>
      <x:c r="F17" s="61" t="n">
        <x:f>'03_ZRODLO_KATEGORIE'!M10-SUM(F5:F16)</x:f>
        <x:v>120000</x:v>
      </x:c>
      <x:c r="G17" s="61" t="n">
        <x:f>E17-F17</x:f>
        <x:v>0</x:v>
      </x:c>
      <x:c r="H17" s="61" t="n">
        <x:f>D17-G17</x:f>
        <x:v>3228.109000000877</x:v>
      </x:c>
      <x:c r="I17" s="63" t="n">
        <x:f>IFERROR(D17/G17,0)</x:f>
        <x:v>0</x:v>
      </x:c>
    </x:row>
    <x:row r="18">
      <x:c r="A18" s="219" t="str">
        <x:v>RAZEM</x:v>
      </x:c>
      <x:c r="B18" s="220" t="n">
        <x:f>SUM(B5:B17)</x:f>
        <x:v>3569516.239000001</x:v>
      </x:c>
      <x:c r="C18" s="220" t="n">
        <x:f>SUM(C5:C17)</x:f>
        <x:v>54824.21149999999</x:v>
      </x:c>
      <x:c r="D18" s="220" t="n">
        <x:f>SUM(D5:D17)</x:f>
        <x:v>3514692.0275000003</x:v>
      </x:c>
      <x:c r="E18" s="220" t="n">
        <x:f>SUM(E5:E17)</x:f>
        <x:v>5904080.94</x:v>
      </x:c>
      <x:c r="F18" s="220" t="n">
        <x:f>SUM(F5:F17)</x:f>
        <x:v>441706.16000000003</x:v>
      </x:c>
      <x:c r="G18" s="220" t="n">
        <x:f>SUM(G5:G17)</x:f>
        <x:v>5462374.780000001</x:v>
      </x:c>
      <x:c r="H18" s="220" t="n">
        <x:f>SUM(H5:H17)</x:f>
        <x:v>-1947682.7524999988</x:v>
      </x:c>
      <x:c r="I18" s="221" t="n">
        <x:f>IFERROR(D18/G18,0)</x:f>
        <x:v>0.6434366313290572</x:v>
      </x:c>
    </x:row>
    <x:row r="19">
      <x:c r="A19" s="210"/>
      <x:c r="B19" s="210"/>
      <x:c r="C19" s="210"/>
      <x:c r="D19" s="210"/>
      <x:c r="E19" s="210"/>
      <x:c r="F19" s="210"/>
      <x:c r="G19" s="210"/>
      <x:c r="H19" s="210"/>
      <x:c r="I19" s="210"/>
    </x:row>
    <x:row r="20" ht="35" customHeight="1">
      <x:c r="A20" s="38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B20" s="39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C20" s="39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D20" s="39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E20" s="39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F20" s="39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G20" s="39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H20" s="39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  <x:c r="I20" s="40" t="str">
        <x:v>Wiersz „Poza osią miesięczną” zachowuje pełną różnicę źródłową oraz odpowiadające jej wyłączenia kontroli. Dzięki temu łączna sprzedaż po kontroli obejmuje wszystkie dane i nie zawiera dodatkowej korekty ani pominięcia.</x:v>
      </x:c>
    </x:row>
  </x:sheetData>
  <x:mergeCells>
    <x:mergeCell ref="A1:I1"/>
    <x:mergeCell ref="A2:I2"/>
    <x:mergeCell ref="A20:I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17" hidden="0" customWidth="1"/>
    <x:col min="5" max="5" width="17" hidden="0" customWidth="1"/>
    <x:col min="6" max="6" width="19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7" hidden="0" customWidth="1"/>
    <x:col min="14" max="14" width="18" hidden="0" customWidth="1"/>
    <x:col min="15" max="15" width="18" hidden="0" customWidth="1"/>
    <x:col min="16" max="16" width="14" hidden="0" customWidth="1"/>
  </x:cols>
  <x:sheetData>
    <x:row r="1">
      <x:c r="A1" s="218" t="str">
        <x:v>ŹRÓDŁO - KATEGORIE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218"/>
      <x:c r="L1" s="218"/>
      <x:c r="M1" s="218"/>
      <x:c r="N1" s="218"/>
      <x:c r="O1" s="218"/>
      <x:c r="P1" s="218"/>
    </x:row>
    <x:row r="2" ht="32" customHeight="1">
      <x:c r="A2" s="42" t="str">
        <x:v>Wartości z ANALIZA_Kategorie po wyłączeniu wyłącznie rekordów kontroli. Nie zastosowano korekty proporcjonalnej do osi miesięcznej.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  <x:c r="O3" s="210"/>
      <x:c r="P3" s="210"/>
    </x:row>
    <x:row r="4" ht="32" customHeight="1">
      <x:c r="A4" s="21" t="str">
        <x:v>Kategoria</x:v>
      </x:c>
      <x:c r="B4" s="21" t="str">
        <x:v>Przychód źródłowy</x:v>
      </x:c>
      <x:c r="C4" s="21" t="str">
        <x:v>Wyłączenia</x:v>
      </x:c>
      <x:c r="D4" s="21" t="str">
        <x:v>Po kontroli</x:v>
      </x:c>
      <x:c r="E4" s="21" t="str">
        <x:v>Dodatkowa korekta</x:v>
      </x:c>
      <x:c r="F4" s="21" t="str">
        <x:v>Przychód modelowy</x:v>
      </x:c>
      <x:c r="G4" s="21" t="str">
        <x:v>KWS źródłowy</x:v>
      </x:c>
      <x:c r="H4" s="21" t="str">
        <x:v>Stopa KWS</x:v>
      </x:c>
      <x:c r="I4" s="21" t="str">
        <x:v>KWS modelowy</x:v>
      </x:c>
      <x:c r="J4" s="21" t="str">
        <x:v>Marża brutto</x:v>
      </x:c>
      <x:c r="K4" s="21" t="str">
        <x:v>Marża %</x:v>
      </x:c>
      <x:c r="L4" s="21" t="str">
        <x:v>Budżet źródłowy</x:v>
      </x:c>
      <x:c r="M4" s="21" t="str">
        <x:v>Wyłączenia budżetu</x:v>
      </x:c>
      <x:c r="N4" s="21" t="str">
        <x:v>Budżet czysty</x:v>
      </x:c>
      <x:c r="O4" s="21" t="str">
        <x:v>Odchylenie</x:v>
      </x:c>
      <x:c r="P4" s="21" t="str">
        <x:v>Realizacja</x:v>
      </x:c>
    </x:row>
    <x:row r="5">
      <x:c r="A5" s="24" t="str">
        <x:v>Dom i kuchnia</x:v>
      </x:c>
      <x:c r="B5" s="53" t="n">
        <x:v>808487.8540000003</x:v>
      </x:c>
      <x:c r="C5" s="53" t="n">
        <x:v>7883.1449999999995</x:v>
      </x:c>
      <x:c r="D5" s="53" t="n">
        <x:f>B5-C5</x:f>
        <x:v>800604.7090000003</x:v>
      </x:c>
      <x:c r="E5" s="53" t="n">
        <x:v>0</x:v>
      </x:c>
      <x:c r="F5" s="53" t="n">
        <x:f>D5</x:f>
        <x:v>800604.7090000003</x:v>
      </x:c>
      <x:c r="G5" s="53" t="n">
        <x:v>489931.5100000005</x:v>
      </x:c>
      <x:c r="H5" s="47" t="n">
        <x:f>IFERROR(G5/B5,0)</x:f>
        <x:v>0.6059849972712148</x:v>
      </x:c>
      <x:c r="I5" s="53" t="n">
        <x:f>F5*H5</x:f>
        <x:v>485154.4423986869</x:v>
      </x:c>
      <x:c r="J5" s="53" t="n">
        <x:f>F5-I5</x:f>
        <x:v>315450.2666013134</x:v>
      </x:c>
      <x:c r="K5" s="47" t="n">
        <x:f>IFERROR(J5/F5,0)</x:f>
        <x:v>0.3940150027287852</x:v>
      </x:c>
      <x:c r="L5" s="53" t="n">
        <x:v>1312638.33</x:v>
      </x:c>
      <x:c r="M5" s="53" t="n">
        <x:v>12988.54</x:v>
      </x:c>
      <x:c r="N5" s="53" t="n">
        <x:f>L5-M5</x:f>
        <x:v>1299649.79</x:v>
      </x:c>
      <x:c r="O5" s="53" t="n">
        <x:f>F5-N5</x:f>
        <x:v>-499045.0809999998</x:v>
      </x:c>
      <x:c r="P5" s="47" t="n">
        <x:f>IFERROR(F5/N5,0)</x:f>
        <x:v>0.6160157260518622</x:v>
      </x:c>
    </x:row>
    <x:row r="6">
      <x:c r="A6" s="27" t="str">
        <x:v>Biuro</x:v>
      </x:c>
      <x:c r="B6" s="51" t="n">
        <x:v>741611.2520000001</x:v>
      </x:c>
      <x:c r="C6" s="51" t="n">
        <x:v>28661.345999999998</x:v>
      </x:c>
      <x:c r="D6" s="51" t="n">
        <x:f>B6-C6</x:f>
        <x:v>712949.9060000001</x:v>
      </x:c>
      <x:c r="E6" s="51" t="n">
        <x:v>0</x:v>
      </x:c>
      <x:c r="F6" s="51" t="n">
        <x:f>D6</x:f>
        <x:v>712949.9060000001</x:v>
      </x:c>
      <x:c r="G6" s="51" t="n">
        <x:v>452448.3899999999</x:v>
      </x:c>
      <x:c r="H6" s="49" t="n">
        <x:f>IFERROR(G6/B6,0)</x:f>
        <x:v>0.6100883566421398</x:v>
      </x:c>
      <x:c r="I6" s="51" t="n">
        <x:f>F6*H6</x:f>
        <x:v>434962.4365197081</x:v>
      </x:c>
      <x:c r="J6" s="51" t="n">
        <x:f>F6-I6</x:f>
        <x:v>277987.469480292</x:v>
      </x:c>
      <x:c r="K6" s="49" t="n">
        <x:f>IFERROR(J6/F6,0)</x:f>
        <x:v>0.3899116433578602</x:v>
      </x:c>
      <x:c r="L6" s="51" t="n">
        <x:v>929368.58</x:v>
      </x:c>
      <x:c r="M6" s="51" t="n">
        <x:v>61934.520000000004</x:v>
      </x:c>
      <x:c r="N6" s="51" t="n">
        <x:f>L6-M6</x:f>
        <x:v>867434.0599999999</x:v>
      </x:c>
      <x:c r="O6" s="51" t="n">
        <x:f>F6-N6</x:f>
        <x:v>-154484.15399999986</x:v>
      </x:c>
      <x:c r="P6" s="49" t="n">
        <x:f>IFERROR(F6/N6,0)</x:f>
        <x:v>0.8219067464332679</x:v>
      </x:c>
    </x:row>
    <x:row r="7">
      <x:c r="A7" s="24" t="str">
        <x:v>Elektronika</x:v>
      </x:c>
      <x:c r="B7" s="53" t="n">
        <x:v>738880.5865000002</x:v>
      </x:c>
      <x:c r="C7" s="53" t="n">
        <x:v>1884.4180000000001</x:v>
      </x:c>
      <x:c r="D7" s="53" t="n">
        <x:f>B7-C7</x:f>
        <x:v>736996.1685000003</x:v>
      </x:c>
      <x:c r="E7" s="53" t="n">
        <x:v>0</x:v>
      </x:c>
      <x:c r="F7" s="53" t="n">
        <x:f>D7</x:f>
        <x:v>736996.1685000003</x:v>
      </x:c>
      <x:c r="G7" s="53" t="n">
        <x:v>478847.83000000025</x:v>
      </x:c>
      <x:c r="H7" s="47" t="n">
        <x:f>IFERROR(G7/B7,0)</x:f>
        <x:v>0.648072014272634</x:v>
      </x:c>
      <x:c r="I7" s="53" t="n">
        <x:f>F7*H7</x:f>
        <x:v>477626.5914310087</x:v>
      </x:c>
      <x:c r="J7" s="53" t="n">
        <x:f>F7-I7</x:f>
        <x:v>259369.57706899155</x:v>
      </x:c>
      <x:c r="K7" s="47" t="n">
        <x:f>IFERROR(J7/F7,0)</x:f>
        <x:v>0.35192798572736606</x:v>
      </x:c>
      <x:c r="L7" s="53" t="n">
        <x:v>1949296.36</x:v>
      </x:c>
      <x:c r="M7" s="53" t="n">
        <x:v>310538.08</x:v>
      </x:c>
      <x:c r="N7" s="53" t="n">
        <x:f>L7-M7</x:f>
        <x:v>1638758.28</x:v>
      </x:c>
      <x:c r="O7" s="53" t="n">
        <x:f>F7-N7</x:f>
        <x:v>-901762.1114999998</x:v>
      </x:c>
      <x:c r="P7" s="47" t="n">
        <x:f>IFERROR(F7/N7,0)</x:f>
        <x:v>0.44972841784817724</x:v>
      </x:c>
    </x:row>
    <x:row r="8">
      <x:c r="A8" s="27" t="str">
        <x:v>Sport i turystyka</x:v>
      </x:c>
      <x:c r="B8" s="51" t="n">
        <x:v>670892.1535000006</x:v>
      </x:c>
      <x:c r="C8" s="51" t="n">
        <x:v>2536.6375</x:v>
      </x:c>
      <x:c r="D8" s="51" t="n">
        <x:f>B8-C8</x:f>
        <x:v>668355.5160000006</x:v>
      </x:c>
      <x:c r="E8" s="51" t="n">
        <x:v>0</x:v>
      </x:c>
      <x:c r="F8" s="51" t="n">
        <x:f>D8</x:f>
        <x:v>668355.5160000006</x:v>
      </x:c>
      <x:c r="G8" s="51" t="n">
        <x:v>418111.0900000003</x:v>
      </x:c>
      <x:c r="H8" s="49" t="n">
        <x:f>IFERROR(G8/B8,0)</x:f>
        <x:v>0.6232165450419148</x:v>
      </x:c>
      <x:c r="I8" s="51" t="n">
        <x:f>F8*H8</x:f>
        <x:v>416530.2155412266</x:v>
      </x:c>
      <x:c r="J8" s="51" t="n">
        <x:f>F8-I8</x:f>
        <x:v>251825.30045877403</x:v>
      </x:c>
      <x:c r="K8" s="49" t="n">
        <x:f>IFERROR(J8/F8,0)</x:f>
        <x:v>0.3767834549580852</x:v>
      </x:c>
      <x:c r="L8" s="51" t="n">
        <x:v>855440.22</x:v>
      </x:c>
      <x:c r="M8" s="51" t="n">
        <x:v>16677.36</x:v>
      </x:c>
      <x:c r="N8" s="51" t="n">
        <x:f>L8-M8</x:f>
        <x:v>838762.86</x:v>
      </x:c>
      <x:c r="O8" s="51" t="n">
        <x:f>F8-N8</x:f>
        <x:v>-170407.34399999934</x:v>
      </x:c>
      <x:c r="P8" s="49" t="n">
        <x:f>IFERROR(F8/N8,0)</x:f>
        <x:v>0.7968348956223463</x:v>
      </x:c>
    </x:row>
    <x:row r="9">
      <x:c r="A9" s="24" t="str">
        <x:v>Uroda i zdrowie</x:v>
      </x:c>
      <x:c r="B9" s="53" t="n">
        <x:v>609644.3929999999</x:v>
      </x:c>
      <x:c r="C9" s="53" t="n">
        <x:v>13858.665</x:v>
      </x:c>
      <x:c r="D9" s="53" t="n">
        <x:f>B9-C9</x:f>
        <x:v>595785.7279999999</x:v>
      </x:c>
      <x:c r="E9" s="53" t="n">
        <x:v>0</x:v>
      </x:c>
      <x:c r="F9" s="53" t="n">
        <x:f>D9</x:f>
        <x:v>595785.7279999999</x:v>
      </x:c>
      <x:c r="G9" s="53" t="n">
        <x:v>385640.0499999999</x:v>
      </x:c>
      <x:c r="H9" s="47" t="n">
        <x:f>IFERROR(G9/B9,0)</x:f>
        <x:v>0.6325655651523394</x:v>
      </x:c>
      <x:c r="I9" s="53" t="n">
        <x:f>F9*H9</x:f>
        <x:v>376873.5357420179</x:v>
      </x:c>
      <x:c r="J9" s="53" t="n">
        <x:f>F9-I9</x:f>
        <x:v>218912.19225798198</x:v>
      </x:c>
      <x:c r="K9" s="47" t="n">
        <x:f>IFERROR(J9/F9,0)</x:f>
        <x:v>0.3674344348476606</x:v>
      </x:c>
      <x:c r="L9" s="53" t="n">
        <x:v>857337.45</x:v>
      </x:c>
      <x:c r="M9" s="53" t="n">
        <x:v>39567.66</x:v>
      </x:c>
      <x:c r="N9" s="53" t="n">
        <x:f>L9-M9</x:f>
        <x:v>817769.7899999999</x:v>
      </x:c>
      <x:c r="O9" s="53" t="n">
        <x:f>F9-N9</x:f>
        <x:v>-221984.06200000003</x:v>
      </x:c>
      <x:c r="P9" s="47" t="n">
        <x:f>IFERROR(F9/N9,0)</x:f>
        <x:v>0.728549446660288</x:v>
      </x:c>
    </x:row>
    <x:row r="10">
      <x:c r="A10" s="219" t="str">
        <x:v>RAZEM</x:v>
      </x:c>
      <x:c r="B10" s="220" t="n">
        <x:f>SUM(B5:B9)</x:f>
        <x:v>3569516.239000001</x:v>
      </x:c>
      <x:c r="C10" s="220" t="n">
        <x:f>SUM(C5:C9)</x:f>
        <x:v>54824.21149999999</x:v>
      </x:c>
      <x:c r="D10" s="220" t="n">
        <x:f>SUM(D5:D9)</x:f>
        <x:v>3514692.027500001</x:v>
      </x:c>
      <x:c r="E10" s="220" t="n">
        <x:f>SUM(E5:E9)</x:f>
        <x:v>0</x:v>
      </x:c>
      <x:c r="F10" s="220" t="n">
        <x:f>SUM(F5:F9)</x:f>
        <x:v>3514692.027500001</x:v>
      </x:c>
      <x:c r="G10" s="220" t="n">
        <x:f>SUM(G5:G9)</x:f>
        <x:v>2224978.870000001</x:v>
      </x:c>
      <x:c r="H10" s="221" t="n">
        <x:f>IFERROR(I10/F10,0)</x:f>
        <x:v>0.6234250979853875</x:v>
      </x:c>
      <x:c r="I10" s="220" t="n">
        <x:f>SUM(I5:I9)</x:f>
        <x:v>2191147.2216326483</x:v>
      </x:c>
      <x:c r="J10" s="220" t="n">
        <x:f>SUM(J5:J9)</x:f>
        <x:v>1323544.8058673528</x:v>
      </x:c>
      <x:c r="K10" s="221" t="n">
        <x:f>IFERROR(J10/F10,0)</x:f>
        <x:v>0.3765749020146126</x:v>
      </x:c>
      <x:c r="L10" s="220" t="n">
        <x:f>SUM(L5:L9)</x:f>
        <x:v>5904080.94</x:v>
      </x:c>
      <x:c r="M10" s="220" t="n">
        <x:f>SUM(M5:M9)</x:f>
        <x:v>441706.16000000003</x:v>
      </x:c>
      <x:c r="N10" s="220" t="n">
        <x:f>SUM(N5:N9)</x:f>
        <x:v>5462374.78</x:v>
      </x:c>
      <x:c r="O10" s="220" t="n">
        <x:f>SUM(O5:O9)</x:f>
        <x:v>-1947682.752499999</x:v>
      </x:c>
      <x:c r="P10" s="221" t="n">
        <x:f>IFERROR(F10/N10,0)</x:f>
        <x:v>0.6434366313290574</x:v>
      </x:c>
    </x:row>
    <x:row r="11">
      <x:c r="A11" s="210"/>
      <x:c r="B11" s="210"/>
      <x:c r="C11" s="210"/>
      <x:c r="D11" s="210"/>
      <x:c r="E11" s="210"/>
      <x:c r="F11" s="210"/>
      <x:c r="G11" s="210"/>
      <x:c r="H11" s="210"/>
      <x:c r="I11" s="210"/>
      <x:c r="J11" s="210"/>
      <x:c r="K11" s="210"/>
      <x:c r="L11" s="210"/>
      <x:c r="M11" s="210"/>
      <x:c r="N11" s="210"/>
      <x:c r="O11" s="210"/>
      <x:c r="P11" s="210"/>
    </x:row>
    <x:row r="12" ht="35" customHeight="1">
      <x:c r="A12" s="38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B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C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D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E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F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G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H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I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J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K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L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M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N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O12" s="39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  <x:c r="P12" s="40" t="str">
        <x:v>Po wyłączeniu kontroli przekrój kategorii jest wyższy od sumy 12 miesięcy o 3228.11 PLN. Zgodnie z zasadą „wyłącz tylko kontrolę” różnica nie jest korygowana; zachowano ją w 02_ZRODLO_MIESIACE jako pozycję poza osią miesięczną.</x:v>
      </x:c>
    </x:row>
  </x:sheetData>
  <x:mergeCells>
    <x:mergeCell ref="A1:P1"/>
    <x:mergeCell ref="A2:P2"/>
    <x:mergeCell ref="A12:P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7" hidden="0" customWidth="1"/>
    <x:col min="5" max="5" width="17" hidden="0" customWidth="1"/>
    <x:col min="6" max="6" width="19" hidden="0" customWidth="1"/>
    <x:col min="7" max="7" width="18" hidden="0" customWidth="1"/>
    <x:col min="8" max="8" width="18" hidden="0" customWidth="1"/>
    <x:col min="9" max="9" width="17" hidden="0" customWidth="1"/>
    <x:col min="10" max="10" width="20" hidden="0" customWidth="1"/>
    <x:col min="11" max="11" width="18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4" hidden="0" customWidth="1"/>
  </x:cols>
  <x:sheetData>
    <x:row r="1">
      <x:c r="A1" s="218" t="str">
        <x:v>ŹRÓDŁO - KANAŁY SPRZEDAŻY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218"/>
      <x:c r="L1" s="218"/>
      <x:c r="M1" s="218"/>
      <x:c r="N1" s="218"/>
      <x:c r="O1" s="218"/>
      <x:c r="P1" s="218"/>
      <x:c r="Q1" s="218"/>
    </x:row>
    <x:row r="2" ht="32" customHeight="1">
      <x:c r="A2" s="42" t="str">
        <x:v>Wartości z ANALIZA_Kanaly po wyłączeniu wyłącznie rekordów kontroli. Różnica zakresu pozostaje w modelu i nie jest rozdzielana proporcjonalnie.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  <x:c r="O3" s="210"/>
      <x:c r="P3" s="210"/>
      <x:c r="Q3" s="210"/>
    </x:row>
    <x:row r="4" ht="32" customHeight="1">
      <x:c r="A4" s="21" t="str">
        <x:v>Kanał</x:v>
      </x:c>
      <x:c r="B4" s="21" t="str">
        <x:v>Przychód źródłowy</x:v>
      </x:c>
      <x:c r="C4" s="21" t="str">
        <x:v>Wyłączenia</x:v>
      </x:c>
      <x:c r="D4" s="21" t="str">
        <x:v>Po kontroli</x:v>
      </x:c>
      <x:c r="E4" s="21" t="str">
        <x:v>Dodatkowa korekta</x:v>
      </x:c>
      <x:c r="F4" s="21" t="str">
        <x:v>Przychód modelowy</x:v>
      </x:c>
      <x:c r="G4" s="21" t="str">
        <x:v>Zamówienia źródłowe</x:v>
      </x:c>
      <x:c r="H4" s="21" t="str">
        <x:v>Wyłączone zamówienia</x:v>
      </x:c>
      <x:c r="I4" s="21" t="str">
        <x:v>Zamówienia czyste</x:v>
      </x:c>
      <x:c r="J4" s="21" t="str">
        <x:v>Śr. wartość zamówienia</x:v>
      </x:c>
      <x:c r="K4" s="21" t="str">
        <x:v>Marża źródłowa</x:v>
      </x:c>
      <x:c r="L4" s="21" t="str">
        <x:v>Stopa marży</x:v>
      </x:c>
      <x:c r="M4" s="21" t="str">
        <x:v>Marża modelowa</x:v>
      </x:c>
      <x:c r="N4" s="21" t="str">
        <x:v>Budżet źródłowy</x:v>
      </x:c>
      <x:c r="O4" s="21" t="str">
        <x:v>Wyłączenia budżetu</x:v>
      </x:c>
      <x:c r="P4" s="21" t="str">
        <x:v>Budżet czysty</x:v>
      </x:c>
      <x:c r="Q4" s="21" t="str">
        <x:v>Realizacja</x:v>
      </x:c>
    </x:row>
    <x:row r="5">
      <x:c r="A5" s="24" t="str">
        <x:v>Marketplace</x:v>
      </x:c>
      <x:c r="B5" s="53" t="n">
        <x:v>665727.7995000001</x:v>
      </x:c>
      <x:c r="C5" s="53" t="n">
        <x:v>2793.4449999999997</x:v>
      </x:c>
      <x:c r="D5" s="53" t="n">
        <x:f>B5-C5</x:f>
        <x:v>662934.3545000001</x:v>
      </x:c>
      <x:c r="E5" s="53" t="n">
        <x:v>0</x:v>
      </x:c>
      <x:c r="F5" s="53" t="n">
        <x:f>D5</x:f>
        <x:v>662934.3545000001</x:v>
      </x:c>
      <x:c r="G5" s="65" t="n">
        <x:v>286</x:v>
      </x:c>
      <x:c r="H5" s="65" t="n">
        <x:v>13</x:v>
      </x:c>
      <x:c r="I5" s="65" t="n">
        <x:f>G5-H5</x:f>
        <x:v>273</x:v>
      </x:c>
      <x:c r="J5" s="53" t="n">
        <x:f>IFERROR(F5/I5,0)</x:f>
        <x:v>2428.3309688644695</x:v>
      </x:c>
      <x:c r="K5" s="53" t="n">
        <x:v>257169.45949999994</x:v>
      </x:c>
      <x:c r="L5" s="47" t="n">
        <x:f>IFERROR(K5/B5,0)</x:f>
        <x:v>0.386298213313533</x:v>
      </x:c>
      <x:c r="M5" s="53" t="n">
        <x:f>F5*L5</x:f>
        <x:v>256090.35668751036</x:v>
      </x:c>
      <x:c r="N5" s="53" t="n">
        <x:v>1389391.31</x:v>
      </x:c>
      <x:c r="O5" s="53" t="n">
        <x:v>183899.93</x:v>
      </x:c>
      <x:c r="P5" s="53" t="n">
        <x:f>N5-O5</x:f>
        <x:v>1205491.3800000001</x:v>
      </x:c>
      <x:c r="Q5" s="47" t="n">
        <x:f>IFERROR(F5/P5,0)</x:f>
        <x:v>0.5499287390176113</x:v>
      </x:c>
    </x:row>
    <x:row r="6">
      <x:c r="A6" s="27" t="str">
        <x:v>Sklep online</x:v>
      </x:c>
      <x:c r="B6" s="51" t="n">
        <x:v>1468055.2269999983</x:v>
      </x:c>
      <x:c r="C6" s="51" t="n">
        <x:v>20967.862</x:v>
      </x:c>
      <x:c r="D6" s="51" t="n">
        <x:f>B6-C6</x:f>
        <x:v>1447087.3649999984</x:v>
      </x:c>
      <x:c r="E6" s="51" t="n">
        <x:v>0</x:v>
      </x:c>
      <x:c r="F6" s="51" t="n">
        <x:f>D6</x:f>
        <x:v>1447087.3649999984</x:v>
      </x:c>
      <x:c r="G6" s="66" t="n">
        <x:v>644</x:v>
      </x:c>
      <x:c r="H6" s="66" t="n">
        <x:v>30</x:v>
      </x:c>
      <x:c r="I6" s="66" t="n">
        <x:f>G6-H6</x:f>
        <x:v>614</x:v>
      </x:c>
      <x:c r="J6" s="51" t="n">
        <x:f>IFERROR(F6/I6,0)</x:f>
        <x:v>2356.8198127035803</x:v>
      </x:c>
      <x:c r="K6" s="51" t="n">
        <x:v>554524.4969999986</x:v>
      </x:c>
      <x:c r="L6" s="49" t="n">
        <x:f>IFERROR(K6/B6,0)</x:f>
        <x:v>0.3777272726538912</x:v>
      </x:c>
      <x:c r="M6" s="51" t="n">
        <x:f>F6*L6</x:f>
        <x:v>546604.3636733554</x:v>
      </x:c>
      <x:c r="N6" s="51" t="n">
        <x:v>2882805.46</x:v>
      </x:c>
      <x:c r="O6" s="51" t="n">
        <x:v>191758.91</x:v>
      </x:c>
      <x:c r="P6" s="51" t="n">
        <x:f>N6-O6</x:f>
        <x:v>2691046.55</x:v>
      </x:c>
      <x:c r="Q6" s="49" t="n">
        <x:f>IFERROR(F6/P6,0)</x:f>
        <x:v>0.5377414838847728</x:v>
      </x:c>
    </x:row>
    <x:row r="7">
      <x:c r="A7" s="24" t="str">
        <x:v>Sklep stacjonarny</x:v>
      </x:c>
      <x:c r="B7" s="53" t="n">
        <x:v>550450.6355000003</x:v>
      </x:c>
      <x:c r="C7" s="53" t="n">
        <x:v>1154.0455</x:v>
      </x:c>
      <x:c r="D7" s="53" t="n">
        <x:f>B7-C7</x:f>
        <x:v>549296.5900000003</x:v>
      </x:c>
      <x:c r="E7" s="53" t="n">
        <x:v>0</x:v>
      </x:c>
      <x:c r="F7" s="53" t="n">
        <x:f>D7</x:f>
        <x:v>549296.5900000003</x:v>
      </x:c>
      <x:c r="G7" s="65" t="n">
        <x:v>269</x:v>
      </x:c>
      <x:c r="H7" s="65" t="n">
        <x:v>7</x:v>
      </x:c>
      <x:c r="I7" s="65" t="n">
        <x:f>G7-H7</x:f>
        <x:v>262</x:v>
      </x:c>
      <x:c r="J7" s="53" t="n">
        <x:f>IFERROR(F7/I7,0)</x:f>
        <x:v>2096.5518702290087</x:v>
      </x:c>
      <x:c r="K7" s="53" t="n">
        <x:v>213419.69550000026</x:v>
      </x:c>
      <x:c r="L7" s="47" t="n">
        <x:f>IFERROR(K7/B7,0)</x:f>
        <x:v>0.3877181380781604</x:v>
      </x:c>
      <x:c r="M7" s="53" t="n">
        <x:f>F7*L7</x:f>
        <x:v>212972.2511274828</x:v>
      </x:c>
      <x:c r="N7" s="53" t="n">
        <x:v>1229220.25</x:v>
      </x:c>
      <x:c r="O7" s="53" t="n">
        <x:v>38912.31</x:v>
      </x:c>
      <x:c r="P7" s="53" t="n">
        <x:f>N7-O7</x:f>
        <x:v>1190307.94</x:v>
      </x:c>
      <x:c r="Q7" s="47" t="n">
        <x:f>IFERROR(F7/P7,0)</x:f>
        <x:v>0.4614743559553172</x:v>
      </x:c>
    </x:row>
    <x:row r="8">
      <x:c r="A8" s="27" t="str">
        <x:v>Telefon/B2B</x:v>
      </x:c>
      <x:c r="B8" s="51" t="n">
        <x:v>885282.5770000002</x:v>
      </x:c>
      <x:c r="C8" s="51" t="n">
        <x:v>29908.859</x:v>
      </x:c>
      <x:c r="D8" s="51" t="n">
        <x:f>B8-C8</x:f>
        <x:v>855373.7180000001</x:v>
      </x:c>
      <x:c r="E8" s="51" t="n">
        <x:v>0</x:v>
      </x:c>
      <x:c r="F8" s="51" t="n">
        <x:f>D8</x:f>
        <x:v>855373.7180000001</x:v>
      </x:c>
      <x:c r="G8" s="66" t="n">
        <x:v>119</x:v>
      </x:c>
      <x:c r="H8" s="66" t="n">
        <x:v>9</x:v>
      </x:c>
      <x:c r="I8" s="66" t="n">
        <x:f>G8-H8</x:f>
        <x:v>110</x:v>
      </x:c>
      <x:c r="J8" s="51" t="n">
        <x:f>IFERROR(F8/I8,0)</x:f>
        <x:v>7776.12470909091</x:v>
      </x:c>
      <x:c r="K8" s="51" t="n">
        <x:v>319423.7170000002</x:v>
      </x:c>
      <x:c r="L8" s="49" t="n">
        <x:f>IFERROR(K8/B8,0)</x:f>
        <x:v>0.3608155466952109</x:v>
      </x:c>
      <x:c r="M8" s="51" t="n">
        <x:f>F8*L8</x:f>
        <x:v>308632.1356888852</x:v>
      </x:c>
      <x:c r="N8" s="51" t="n">
        <x:v>402663.92</x:v>
      </x:c>
      <x:c r="O8" s="51" t="n">
        <x:v>27135.01</x:v>
      </x:c>
      <x:c r="P8" s="51" t="n">
        <x:f>N8-O8</x:f>
        <x:v>375528.91</x:v>
      </x:c>
      <x:c r="Q8" s="49" t="n">
        <x:f>IFERROR(F8/P8,0)</x:f>
        <x:v>2.2777839341317296</x:v>
      </x:c>
    </x:row>
    <x:row r="9">
      <x:c r="A9" s="219" t="str">
        <x:v>RAZEM</x:v>
      </x:c>
      <x:c r="B9" s="220" t="n">
        <x:f>SUM(B5:B8)</x:f>
        <x:v>3569516.2389999987</x:v>
      </x:c>
      <x:c r="C9" s="220" t="n">
        <x:f>SUM(C5:C8)</x:f>
        <x:v>54824.211500000005</x:v>
      </x:c>
      <x:c r="D9" s="220" t="n">
        <x:f>SUM(D5:D8)</x:f>
        <x:v>3514692.027499999</x:v>
      </x:c>
      <x:c r="E9" s="220" t="n">
        <x:f>SUM(E5:E8)</x:f>
        <x:v>0</x:v>
      </x:c>
      <x:c r="F9" s="220" t="n">
        <x:f>SUM(F5:F8)</x:f>
        <x:v>3514692.027499999</x:v>
      </x:c>
      <x:c r="G9" s="222" t="n">
        <x:f>SUM(G5:G8)</x:f>
        <x:v>1318</x:v>
      </x:c>
      <x:c r="H9" s="222" t="n">
        <x:f>SUM(H5:H8)</x:f>
        <x:v>59</x:v>
      </x:c>
      <x:c r="I9" s="222" t="n">
        <x:f>SUM(I5:I8)</x:f>
        <x:v>1259</x:v>
      </x:c>
      <x:c r="J9" s="220" t="n">
        <x:f>IFERROR(F9/I9,0)</x:f>
        <x:v>2791.653715250198</x:v>
      </x:c>
      <x:c r="K9" s="220" t="n">
        <x:f>SUM(K5:K8)</x:f>
        <x:v>1344537.368999999</x:v>
      </x:c>
      <x:c r="L9" s="221" t="n">
        <x:f>IFERROR(M9/F9,0)</x:f>
        <x:v>0.37678951578560016</x:v>
      </x:c>
      <x:c r="M9" s="220" t="n">
        <x:f>SUM(M5:M8)</x:f>
        <x:v>1324299.1071772338</x:v>
      </x:c>
      <x:c r="N9" s="220" t="n">
        <x:f>SUM(N5:N8)</x:f>
        <x:v>5904080.9399999995</x:v>
      </x:c>
      <x:c r="O9" s="220" t="n">
        <x:f>SUM(O5:O8)</x:f>
        <x:v>441706.16</x:v>
      </x:c>
      <x:c r="P9" s="220" t="n">
        <x:f>SUM(P5:P8)</x:f>
        <x:v>5462374.779999999</x:v>
      </x:c>
      <x:c r="Q9" s="221" t="n">
        <x:f>IFERROR(F9/P9,0)</x:f>
        <x:v>0.643436631329057</x:v>
      </x:c>
    </x:row>
    <x:row r="10">
      <x:c r="A10" s="210"/>
      <x:c r="B10" s="210"/>
      <x:c r="C10" s="210"/>
      <x:c r="D10" s="210"/>
      <x:c r="E10" s="210"/>
      <x:c r="F10" s="210"/>
      <x:c r="G10" s="210"/>
      <x:c r="H10" s="210"/>
      <x:c r="I10" s="210"/>
      <x:c r="J10" s="210"/>
      <x:c r="K10" s="210"/>
      <x:c r="L10" s="210"/>
      <x:c r="M10" s="210"/>
      <x:c r="N10" s="210"/>
      <x:c r="O10" s="210"/>
      <x:c r="P10" s="210"/>
      <x:c r="Q10" s="210"/>
    </x:row>
    <x:row r="11" ht="35" customHeight="1">
      <x:c r="A11" s="38" t="str">
        <x:v>Po wyłączeniu kontroli przekrój kanałów jest wyższy od sumy 12 miesięcy o 3228.11 PLN. Nie wykonano dodatkowej korekty; różnica znajduje się w pozycji poza osią miesięczną w arkuszu 02.</x:v>
      </x:c>
      <x:c r="B11" s="39" t="str">
        <x:v>Po wyłączeniu kontroli przekrój kanałów jest wyższy od sumy 12 miesięcy o 3228.11 PLN. Nie wykonano dodatkowej korekty; różnica znajduje się w pozycji poza osią miesięczną w arkuszu 02.</x:v>
      </x:c>
      <x:c r="C11" s="39" t="str">
        <x:v>Po wyłączeniu kontroli przekrój kanałów jest wyższy od sumy 12 miesięcy o 3228.11 PLN. Nie wykonano dodatkowej korekty; różnica znajduje się w pozycji poza osią miesięczną w arkuszu 02.</x:v>
      </x:c>
      <x:c r="D11" s="39" t="str">
        <x:v>Po wyłączeniu kontroli przekrój kanałów jest wyższy od sumy 12 miesięcy o 3228.11 PLN. Nie wykonano dodatkowej korekty; różnica znajduje się w pozycji poza osią miesięczną w arkuszu 02.</x:v>
      </x:c>
      <x:c r="E11" s="39" t="str">
        <x:v>Po wyłączeniu kontroli przekrój kanałów jest wyższy od sumy 12 miesięcy o 3228.11 PLN. Nie wykonano dodatkowej korekty; różnica znajduje się w pozycji poza osią miesięczną w arkuszu 02.</x:v>
      </x:c>
      <x:c r="F11" s="39" t="str">
        <x:v>Po wyłączeniu kontroli przekrój kanałów jest wyższy od sumy 12 miesięcy o 3228.11 PLN. Nie wykonano dodatkowej korekty; różnica znajduje się w pozycji poza osią miesięczną w arkuszu 02.</x:v>
      </x:c>
      <x:c r="G11" s="39" t="str">
        <x:v>Po wyłączeniu kontroli przekrój kanałów jest wyższy od sumy 12 miesięcy o 3228.11 PLN. Nie wykonano dodatkowej korekty; różnica znajduje się w pozycji poza osią miesięczną w arkuszu 02.</x:v>
      </x:c>
      <x:c r="H11" s="39" t="str">
        <x:v>Po wyłączeniu kontroli przekrój kanałów jest wyższy od sumy 12 miesięcy o 3228.11 PLN. Nie wykonano dodatkowej korekty; różnica znajduje się w pozycji poza osią miesięczną w arkuszu 02.</x:v>
      </x:c>
      <x:c r="I11" s="39" t="str">
        <x:v>Po wyłączeniu kontroli przekrój kanałów jest wyższy od sumy 12 miesięcy o 3228.11 PLN. Nie wykonano dodatkowej korekty; różnica znajduje się w pozycji poza osią miesięczną w arkuszu 02.</x:v>
      </x:c>
      <x:c r="J11" s="39" t="str">
        <x:v>Po wyłączeniu kontroli przekrój kanałów jest wyższy od sumy 12 miesięcy o 3228.11 PLN. Nie wykonano dodatkowej korekty; różnica znajduje się w pozycji poza osią miesięczną w arkuszu 02.</x:v>
      </x:c>
      <x:c r="K11" s="39" t="str">
        <x:v>Po wyłączeniu kontroli przekrój kanałów jest wyższy od sumy 12 miesięcy o 3228.11 PLN. Nie wykonano dodatkowej korekty; różnica znajduje się w pozycji poza osią miesięczną w arkuszu 02.</x:v>
      </x:c>
      <x:c r="L11" s="39" t="str">
        <x:v>Po wyłączeniu kontroli przekrój kanałów jest wyższy od sumy 12 miesięcy o 3228.11 PLN. Nie wykonano dodatkowej korekty; różnica znajduje się w pozycji poza osią miesięczną w arkuszu 02.</x:v>
      </x:c>
      <x:c r="M11" s="39" t="str">
        <x:v>Po wyłączeniu kontroli przekrój kanałów jest wyższy od sumy 12 miesięcy o 3228.11 PLN. Nie wykonano dodatkowej korekty; różnica znajduje się w pozycji poza osią miesięczną w arkuszu 02.</x:v>
      </x:c>
      <x:c r="N11" s="39" t="str">
        <x:v>Po wyłączeniu kontroli przekrój kanałów jest wyższy od sumy 12 miesięcy o 3228.11 PLN. Nie wykonano dodatkowej korekty; różnica znajduje się w pozycji poza osią miesięczną w arkuszu 02.</x:v>
      </x:c>
      <x:c r="O11" s="39" t="str">
        <x:v>Po wyłączeniu kontroli przekrój kanałów jest wyższy od sumy 12 miesięcy o 3228.11 PLN. Nie wykonano dodatkowej korekty; różnica znajduje się w pozycji poza osią miesięczną w arkuszu 02.</x:v>
      </x:c>
      <x:c r="P11" s="39" t="str">
        <x:v>Po wyłączeniu kontroli przekrój kanałów jest wyższy od sumy 12 miesięcy o 3228.11 PLN. Nie wykonano dodatkowej korekty; różnica znajduje się w pozycji poza osią miesięczną w arkuszu 02.</x:v>
      </x:c>
      <x:c r="Q11" s="40" t="str">
        <x:v>Po wyłączeniu kontroli przekrój kanałów jest wyższy od sumy 12 miesięcy o 3228.11 PLN. Nie wykonano dodatkowej korekty; różnica znajduje się w pozycji poza osią miesięczną w arkuszu 02.</x:v>
      </x:c>
    </x:row>
  </x:sheetData>
  <x:mergeCells>
    <x:mergeCell ref="A1:Q1"/>
    <x:mergeCell ref="A2:Q2"/>
    <x:mergeCell ref="A11:Q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22" hidden="0" customWidth="1"/>
    <x:col min="4" max="4" width="34" hidden="0" customWidth="1"/>
    <x:col min="5" max="5" width="18" hidden="0" customWidth="1"/>
    <x:col min="6" max="6" width="22" hidden="0" customWidth="1"/>
    <x:col min="7" max="7" width="12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  <x:col min="13" max="13" width="32" hidden="0" customWidth="1"/>
  </x:cols>
  <x:sheetData>
    <x:row r="1">
      <x:c r="A1" s="216" t="str">
        <x:v>WYŁĄCZENIA WYNIKAJĄCE Z KONTROLI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</x:row>
    <x:row r="2" ht="32" customHeight="1">
      <x:c r="A2" s="42" t="str">
        <x:v>Arkusz audytowy. Z FAKT_Sprzedaz nie wykonano ponownego czyszczenia; pominięto wyłącznie rekordy wskazane przez KONTROLA_*. Dane osobowe klientów nie są kopiowane.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</x:row>
    <x:row r="4" ht="32" customHeight="1">
      <x:c r="A4" s="21" t="str">
        <x:v>Kontrola</x:v>
      </x:c>
      <x:c r="B4" s="21" t="str">
        <x:v>Liczba rekordów</x:v>
      </x:c>
      <x:c r="C4" s="21" t="str">
        <x:v>Wpływ finansowy / informacja</x:v>
      </x:c>
      <x:c r="D4" s="210"/>
      <x:c r="E4" s="210"/>
      <x:c r="F4" s="210"/>
      <x:c r="G4" s="210"/>
      <x:c r="H4" s="210"/>
      <x:c r="I4" s="210"/>
      <x:c r="J4" s="210"/>
      <x:c r="K4" s="210"/>
      <x:c r="L4" s="210"/>
      <x:c r="M4" s="210"/>
    </x:row>
    <x:row r="5">
      <x:c r="A5" s="24" t="str">
        <x:v>KONTROLA_Sprzedaz</x:v>
      </x:c>
      <x:c r="B5" s="65" t="n">
        <x:v>83</x:v>
      </x:c>
      <x:c r="C5" s="53" t="n">
        <x:v>55614.399</x:v>
      </x:c>
      <x:c r="D5" s="210"/>
      <x:c r="E5" s="210"/>
      <x:c r="F5" s="210"/>
      <x:c r="G5" s="210"/>
      <x:c r="H5" s="210"/>
      <x:c r="I5" s="210"/>
      <x:c r="J5" s="210"/>
      <x:c r="K5" s="210"/>
      <x:c r="L5" s="210"/>
      <x:c r="M5" s="210"/>
    </x:row>
    <x:row r="6">
      <x:c r="A6" s="27" t="str">
        <x:v>KONTROLA_Budzet</x:v>
      </x:c>
      <x:c r="B6" s="66" t="n">
        <x:v>16</x:v>
      </x:c>
      <x:c r="C6" s="51" t="n">
        <x:v>441706.16</x:v>
      </x:c>
      <x:c r="D6" s="210"/>
      <x:c r="E6" s="210"/>
      <x:c r="F6" s="210"/>
      <x:c r="G6" s="210"/>
      <x:c r="H6" s="210"/>
      <x:c r="I6" s="210"/>
      <x:c r="J6" s="210"/>
      <x:c r="K6" s="210"/>
      <x:c r="L6" s="210"/>
      <x:c r="M6" s="210"/>
    </x:row>
    <x:row r="7">
      <x:c r="A7" s="24" t="str">
        <x:v>KONTROLA_Zwroty</x:v>
      </x:c>
      <x:c r="B7" s="65" t="n">
        <x:v>5</x:v>
      </x:c>
      <x:c r="C7" s="53" t="n">
        <x:v>2280.0899999999997</x:v>
      </x:c>
      <x:c r="D7" s="210"/>
      <x:c r="E7" s="210"/>
      <x:c r="F7" s="210"/>
      <x:c r="G7" s="210"/>
      <x:c r="H7" s="210"/>
      <x:c r="I7" s="210"/>
      <x:c r="J7" s="210"/>
      <x:c r="K7" s="210"/>
      <x:c r="L7" s="210"/>
      <x:c r="M7" s="210"/>
    </x:row>
    <x:row r="8">
      <x:c r="A8" s="27" t="str">
        <x:v>KONTROLA_Produkty</x:v>
      </x:c>
      <x:c r="B8" s="66" t="n">
        <x:v>9</x:v>
      </x:c>
      <x:c r="C8" s="27" t="str">
        <x:v>licznik kontroli źródłowej</x:v>
      </x:c>
      <x:c r="D8" s="210"/>
      <x:c r="E8" s="210"/>
      <x:c r="F8" s="210"/>
      <x:c r="G8" s="210"/>
      <x:c r="H8" s="210"/>
      <x:c r="I8" s="210"/>
      <x:c r="J8" s="210"/>
      <x:c r="K8" s="210"/>
      <x:c r="L8" s="210"/>
      <x:c r="M8" s="210"/>
    </x:row>
    <x:row r="9">
      <x:c r="A9" s="24" t="str">
        <x:v>KONTROLA_Klienci</x:v>
      </x:c>
      <x:c r="B9" s="65" t="n">
        <x:v>12</x:v>
      </x:c>
      <x:c r="C9" s="24" t="str">
        <x:v>licznik kontroli źródłowej</x:v>
      </x:c>
      <x:c r="D9" s="210"/>
      <x:c r="E9" s="210"/>
      <x:c r="F9" s="210"/>
      <x:c r="G9" s="210"/>
      <x:c r="H9" s="210"/>
      <x:c r="I9" s="210"/>
      <x:c r="J9" s="210"/>
      <x:c r="K9" s="210"/>
      <x:c r="L9" s="210"/>
      <x:c r="M9" s="210"/>
    </x:row>
    <x:row r="10">
      <x:c r="A10" s="27" t="str">
        <x:v>KONTROLA_Magazyn</x:v>
      </x:c>
      <x:c r="B10" s="66" t="n">
        <x:v>18</x:v>
      </x:c>
      <x:c r="C10" s="27" t="str">
        <x:v>licznik kontroli źródłowej</x:v>
      </x:c>
      <x:c r="D10" s="210"/>
      <x:c r="E10" s="210"/>
      <x:c r="F10" s="210"/>
      <x:c r="G10" s="210"/>
      <x:c r="H10" s="210"/>
      <x:c r="I10" s="210"/>
      <x:c r="J10" s="210"/>
      <x:c r="K10" s="210"/>
      <x:c r="L10" s="210"/>
      <x:c r="M10" s="210"/>
    </x:row>
    <x:row r="11">
      <x:c r="A11" s="210"/>
      <x:c r="B11" s="210"/>
      <x:c r="C11" s="210"/>
      <x:c r="D11" s="210"/>
      <x:c r="E11" s="210"/>
      <x:c r="F11" s="210"/>
      <x:c r="G11" s="210"/>
      <x:c r="H11" s="210"/>
      <x:c r="I11" s="210"/>
      <x:c r="J11" s="210"/>
      <x:c r="K11" s="210"/>
      <x:c r="L11" s="210"/>
      <x:c r="M11" s="210"/>
    </x:row>
    <x:row r="12" ht="23" customHeight="1">
      <x:c r="A12" s="16" t="str">
        <x:v>KONTROLA_Sprzedaz - rekordy wyłączone z modelu</x:v>
      </x:c>
      <x:c r="B12" s="16" t="str">
        <x:v>KONTROLA_Sprzedaz - rekordy wyłączone z modelu</x:v>
      </x:c>
      <x:c r="C12" s="16" t="str">
        <x:v>KONTROLA_Sprzedaz - rekordy wyłączone z modelu</x:v>
      </x:c>
      <x:c r="D12" s="16" t="str">
        <x:v>KONTROLA_Sprzedaz - rekordy wyłączone z modelu</x:v>
      </x:c>
      <x:c r="E12" s="16" t="str">
        <x:v>KONTROLA_Sprzedaz - rekordy wyłączone z modelu</x:v>
      </x:c>
      <x:c r="F12" s="16" t="str">
        <x:v>KONTROLA_Sprzedaz - rekordy wyłączone z modelu</x:v>
      </x:c>
      <x:c r="G12" s="16" t="str">
        <x:v>KONTROLA_Sprzedaz - rekordy wyłączone z modelu</x:v>
      </x:c>
      <x:c r="H12" s="16" t="str">
        <x:v>KONTROLA_Sprzedaz - rekordy wyłączone z modelu</x:v>
      </x:c>
      <x:c r="I12" s="16" t="str">
        <x:v>KONTROLA_Sprzedaz - rekordy wyłączone z modelu</x:v>
      </x:c>
      <x:c r="J12" s="16" t="str">
        <x:v>KONTROLA_Sprzedaz - rekordy wyłączone z modelu</x:v>
      </x:c>
      <x:c r="K12" s="16" t="str">
        <x:v>KONTROLA_Sprzedaz - rekordy wyłączone z modelu</x:v>
      </x:c>
      <x:c r="L12" s="16" t="str">
        <x:v>KONTROLA_Sprzedaz - rekordy wyłączone z modelu</x:v>
      </x:c>
      <x:c r="M12" s="16" t="str">
        <x:v>KONTROLA_Sprzedaz - rekordy wyłączone z modelu</x:v>
      </x:c>
    </x:row>
    <x:row r="13" ht="32" customHeight="1">
      <x:c r="A13" s="21" t="str">
        <x:v>Nr zamówienia</x:v>
      </x:c>
      <x:c r="B13" s="21" t="str">
        <x:v>Data</x:v>
      </x:c>
      <x:c r="C13" s="21" t="str">
        <x:v>Kanał</x:v>
      </x:c>
      <x:c r="D13" s="21" t="str">
        <x:v>Produkt</x:v>
      </x:c>
      <x:c r="E13" s="21" t="str">
        <x:v>Kod produktu</x:v>
      </x:c>
      <x:c r="F13" s="21" t="str">
        <x:v>Kategoria</x:v>
      </x:c>
      <x:c r="G13" s="21" t="str">
        <x:v>Ilość</x:v>
      </x:c>
      <x:c r="H13" s="21" t="str">
        <x:v>Cena jedn.</x:v>
      </x:c>
      <x:c r="I13" s="21" t="str">
        <x:v>Rabat</x:v>
      </x:c>
      <x:c r="J13" s="21" t="str">
        <x:v>Status</x:v>
      </x:c>
      <x:c r="K13" s="21" t="str">
        <x:v>Przychód</x:v>
      </x:c>
      <x:c r="L13" s="21" t="str">
        <x:v>Flaga wysyłki</x:v>
      </x:c>
      <x:c r="M13" s="21" t="str">
        <x:v>Flagi ceny / ilości</x:v>
      </x:c>
    </x:row>
    <x:row r="14">
      <x:c r="A14" s="28" t="str">
        <x:v>ZAM/2025/000678</x:v>
      </x:c>
      <x:c r="B14" s="70" t="n">
        <x:v>45992</x:v>
      </x:c>
      <x:c r="C14" s="28" t="str">
        <x:v>Sklep stacjonarny</x:v>
      </x:c>
      <x:c r="D14" s="28" t="str">
        <x:v>MOP OBROTOWY</x:v>
      </x:c>
      <x:c r="E14" s="28" t="str">
        <x:v>DK-1012</x:v>
      </x:c>
      <x:c r="F14" s="28" t="str">
        <x:v>Dom i kuchnia</x:v>
      </x:c>
      <x:c r="G14" s="71" t="n">
        <x:v>0</x:v>
      </x:c>
      <x:c r="H14" s="72" t="n">
        <x:v>491.05</x:v>
      </x:c>
      <x:c r="I14" s="73" t="n">
        <x:v>0.1</x:v>
      </x:c>
      <x:c r="J14" s="28" t="str">
        <x:v>Zrealizowane</x:v>
      </x:c>
      <x:c r="K14" s="72"/>
      <x:c r="L14" s="28" t="str">
        <x:v>OK</x:v>
      </x:c>
      <x:c r="M14" s="28" t="str">
        <x:v>OK / Niepoprawna ilość</x:v>
      </x:c>
    </x:row>
    <x:row r="15">
      <x:c r="A15" s="29" t="str">
        <x:v>ZAM/2025/000678</x:v>
      </x:c>
      <x:c r="B15" s="74" t="n">
        <x:v>45992</x:v>
      </x:c>
      <x:c r="C15" s="29" t="str">
        <x:v>Sklep stacjonarny</x:v>
      </x:c>
      <x:c r="D15" s="29" t="str">
        <x:v>SKAKANKA TRENINGOWA</x:v>
      </x:c>
      <x:c r="E15" s="29" t="str">
        <x:v>ST-1011</x:v>
      </x:c>
      <x:c r="F15" s="29" t="str">
        <x:v>Sport i turystyka</x:v>
      </x:c>
      <x:c r="G15" s="75" t="n">
        <x:v>1</x:v>
      </x:c>
      <x:c r="H15" s="76" t="n">
        <x:v>663.3</x:v>
      </x:c>
      <x:c r="I15" s="77" t="n">
        <x:v>0.05</x:v>
      </x:c>
      <x:c r="J15" s="29" t="str">
        <x:v>Zrealizowane</x:v>
      </x:c>
      <x:c r="K15" s="76" t="n">
        <x:v>630.135</x:v>
      </x:c>
      <x:c r="L15" s="29" t="str">
        <x:v>WYSYŁKA PRZED ZAMÓWIENIEM</x:v>
      </x:c>
      <x:c r="M15" s="29" t="str">
        <x:v>OK / OK</x:v>
      </x:c>
    </x:row>
    <x:row r="16">
      <x:c r="A16" s="28" t="str">
        <x:v>ZAM/2025/000802</x:v>
      </x:c>
      <x:c r="B16" s="70" t="n">
        <x:v>45815</x:v>
      </x:c>
      <x:c r="C16" s="28" t="str">
        <x:v>Sklep online</x:v>
      </x:c>
      <x:c r="D16" s="28" t="str">
        <x:v>LUSTERKO LED</x:v>
      </x:c>
      <x:c r="E16" s="28" t="str">
        <x:v>UZ-1010</x:v>
      </x:c>
      <x:c r="F16" s="28" t="str">
        <x:v>Uroda i zdrowie</x:v>
      </x:c>
      <x:c r="G16" s="71" t="n">
        <x:v>1</x:v>
      </x:c>
      <x:c r="H16" s="72" t="n">
        <x:v>473.34</x:v>
      </x:c>
      <x:c r="I16" s="73" t="n">
        <x:v>0.25</x:v>
      </x:c>
      <x:c r="J16" s="28" t="str">
        <x:v>Zrealizowane</x:v>
      </x:c>
      <x:c r="K16" s="72" t="n">
        <x:v>355.005</x:v>
      </x:c>
      <x:c r="L16" s="28" t="str">
        <x:v>WYSYŁKA PRZED ZAMÓWIENIEM</x:v>
      </x:c>
      <x:c r="M16" s="28" t="str">
        <x:v>OK / OK</x:v>
      </x:c>
    </x:row>
    <x:row r="17">
      <x:c r="A17" s="29" t="str">
        <x:v>ZAM/2025/000881</x:v>
      </x:c>
      <x:c r="B17" s="74" t="n">
        <x:v>45919</x:v>
      </x:c>
      <x:c r="C17" s="29" t="str">
        <x:v>Telefon/B2B</x:v>
      </x:c>
      <x:c r="D17" s="29" t="str">
        <x:v>PLECAK TURYSTYCZNY 30 L</x:v>
      </x:c>
      <x:c r="E17" s="29" t="str">
        <x:v>ST-1005</x:v>
      </x:c>
      <x:c r="F17" s="29" t="str">
        <x:v>Sport i turystyka</x:v>
      </x:c>
      <x:c r="G17" s="75" t="n">
        <x:v>1</x:v>
      </x:c>
      <x:c r="H17" s="76" t="n">
        <x:v>379.87</x:v>
      </x:c>
      <x:c r="I17" s="77" t="n">
        <x:v>0</x:v>
      </x:c>
      <x:c r="J17" s="29" t="str">
        <x:v>Zrealizowane</x:v>
      </x:c>
      <x:c r="K17" s="76" t="n">
        <x:v>379.87</x:v>
      </x:c>
      <x:c r="L17" s="29" t="str">
        <x:v>WYSYŁKA PRZED ZAMÓWIENIEM</x:v>
      </x:c>
      <x:c r="M17" s="29" t="str">
        <x:v>OK / OK</x:v>
      </x:c>
    </x:row>
    <x:row r="18">
      <x:c r="A18" s="28" t="str">
        <x:v>ZAM/2025/000822</x:v>
      </x:c>
      <x:c r="B18" s="70" t="n">
        <x:v>45764</x:v>
      </x:c>
      <x:c r="C18" s="28" t="str">
        <x:v>Sklep stacjonarny</x:v>
      </x:c>
      <x:c r="D18" s="28" t="str">
        <x:v>KLAWIATURA MECHANICZNA</x:v>
      </x:c>
      <x:c r="E18" s="28" t="str">
        <x:v>EL-1003</x:v>
      </x:c>
      <x:c r="F18" s="28" t="str">
        <x:v>Elektronika</x:v>
      </x:c>
      <x:c r="G18" s="71" t="n">
        <x:v>1</x:v>
      </x:c>
      <x:c r="H18" s="72" t="n">
        <x:v>306.28</x:v>
      </x:c>
      <x:c r="I18" s="73" t="n">
        <x:v>0.15</x:v>
      </x:c>
      <x:c r="J18" s="28" t="str">
        <x:v>Zrealizowane</x:v>
      </x:c>
      <x:c r="K18" s="72" t="n">
        <x:v>260.338</x:v>
      </x:c>
      <x:c r="L18" s="28" t="str">
        <x:v>WYSYŁKA PRZED ZAMÓWIENIEM</x:v>
      </x:c>
      <x:c r="M18" s="28" t="str">
        <x:v>OK / OK</x:v>
      </x:c>
    </x:row>
    <x:row r="19">
      <x:c r="A19" s="29" t="str">
        <x:v>ZAM/2025/000319</x:v>
      </x:c>
      <x:c r="B19" s="74" t="n">
        <x:v>45954</x:v>
      </x:c>
      <x:c r="C19" s="29" t="str">
        <x:v>Sklep online</x:v>
      </x:c>
      <x:c r="D19" s="29" t="str">
        <x:v>CZAJNIK ELEKTRYCZNY</x:v>
      </x:c>
      <x:c r="E19" s="29" t="str">
        <x:v>DK-1001</x:v>
      </x:c>
      <x:c r="F19" s="29" t="str">
        <x:v>Dom i kuchnia</x:v>
      </x:c>
      <x:c r="G19" s="75" t="n">
        <x:v>0</x:v>
      </x:c>
      <x:c r="H19" s="76" t="n">
        <x:v>828.87</x:v>
      </x:c>
      <x:c r="I19" s="77" t="n">
        <x:v>0.1</x:v>
      </x:c>
      <x:c r="J19" s="29" t="str">
        <x:v>Zrealizowane</x:v>
      </x:c>
      <x:c r="K19" s="76"/>
      <x:c r="L19" s="29" t="str">
        <x:v>OK</x:v>
      </x:c>
      <x:c r="M19" s="29" t="str">
        <x:v>OK / Niepoprawna ilość</x:v>
      </x:c>
    </x:row>
    <x:row r="20">
      <x:c r="A20" s="28" t="str">
        <x:v>ZAM/2025/001306</x:v>
      </x:c>
      <x:c r="B20" s="70" t="n">
        <x:v>45787</x:v>
      </x:c>
      <x:c r="C20" s="28" t="str">
        <x:v>Telefon/B2B</x:v>
      </x:c>
      <x:c r="D20" s="28" t="str">
        <x:v>ETYKIETY SAMOPRZYLEPNE</x:v>
      </x:c>
      <x:c r="E20" s="28" t="str">
        <x:v>BI-1016</x:v>
      </x:c>
      <x:c r="F20" s="28" t="str">
        <x:v>Biuro</x:v>
      </x:c>
      <x:c r="G20" s="71" t="n">
        <x:v>-2</x:v>
      </x:c>
      <x:c r="H20" s="72" t="n">
        <x:v>94.38</x:v>
      </x:c>
      <x:c r="I20" s="73" t="n">
        <x:v>0</x:v>
      </x:c>
      <x:c r="J20" s="28" t="str">
        <x:v>Zrealizowane</x:v>
      </x:c>
      <x:c r="K20" s="72"/>
      <x:c r="L20" s="28" t="str">
        <x:v>OK</x:v>
      </x:c>
      <x:c r="M20" s="28" t="str">
        <x:v>OK / Niepoprawna ilość</x:v>
      </x:c>
    </x:row>
    <x:row r="21">
      <x:c r="A21" s="29" t="str">
        <x:v>ZAM/2025/001432</x:v>
      </x:c>
      <x:c r="B21" s="74" t="n">
        <x:v>45932</x:v>
      </x:c>
      <x:c r="C21" s="29" t="str">
        <x:v>Sklep online</x:v>
      </x:c>
      <x:c r="D21" s="29" t="str">
        <x:v>FILTR DO DZBANKA 3 SZT.</x:v>
      </x:c>
      <x:c r="E21" s="29" t="str">
        <x:v>DK-1010</x:v>
      </x:c>
      <x:c r="F21" s="29" t="str">
        <x:v>Dom i kuchnia</x:v>
      </x:c>
      <x:c r="G21" s="75" t="n">
        <x:v>3</x:v>
      </x:c>
      <x:c r="H21" s="76" t="n">
        <x:v>1268.77</x:v>
      </x:c>
      <x:c r="I21" s="77" t="n">
        <x:v>0</x:v>
      </x:c>
      <x:c r="J21" s="29" t="str">
        <x:v>Zrealizowane</x:v>
      </x:c>
      <x:c r="K21" s="76" t="n">
        <x:v>3806.31</x:v>
      </x:c>
      <x:c r="L21" s="29" t="str">
        <x:v>WYSYŁKA PRZED ZAMÓWIENIEM</x:v>
      </x:c>
      <x:c r="M21" s="29" t="str">
        <x:v>OK / OK</x:v>
      </x:c>
    </x:row>
    <x:row r="22">
      <x:c r="A22" s="28" t="str">
        <x:v>ZAM/2025/000352</x:v>
      </x:c>
      <x:c r="B22" s="70" t="n">
        <x:v>45938</x:v>
      </x:c>
      <x:c r="C22" s="28" t="str">
        <x:v>Sklep online</x:v>
      </x:c>
      <x:c r="D22" s="28" t="str">
        <x:v>PIŁKA FITNESS</x:v>
      </x:c>
      <x:c r="E22" s="28" t="str">
        <x:v>ST-1012</x:v>
      </x:c>
      <x:c r="F22" s="28" t="str">
        <x:v>Sport i turystyka</x:v>
      </x:c>
      <x:c r="G22" s="71" t="n">
        <x:v>0</x:v>
      </x:c>
      <x:c r="H22" s="72" t="n">
        <x:v>1225.29</x:v>
      </x:c>
      <x:c r="I22" s="73" t="n">
        <x:v>0.25</x:v>
      </x:c>
      <x:c r="J22" s="28" t="str">
        <x:v>Zrealizowane</x:v>
      </x:c>
      <x:c r="K22" s="72"/>
      <x:c r="L22" s="28" t="str">
        <x:v>OK</x:v>
      </x:c>
      <x:c r="M22" s="28" t="str">
        <x:v>OK / Niepoprawna ilość</x:v>
      </x:c>
    </x:row>
    <x:row r="23">
      <x:c r="A23" s="29" t="str">
        <x:v>ZAM/2025/001284</x:v>
      </x:c>
      <x:c r="B23" s="74" t="n">
        <x:v>46017</x:v>
      </x:c>
      <x:c r="C23" s="29" t="str">
        <x:v>Sklep online</x:v>
      </x:c>
      <x:c r="D23" s="29" t="str">
        <x:v>LAMPKA BIURKOWA LED</x:v>
      </x:c>
      <x:c r="E23" s="29" t="str">
        <x:v>EL-1018</x:v>
      </x:c>
      <x:c r="F23" s="29" t="str">
        <x:v>Elektronika</x:v>
      </x:c>
      <x:c r="G23" s="75" t="n">
        <x:v>20</x:v>
      </x:c>
      <x:c r="H23" s="76"/>
      <x:c r="I23" s="77" t="n">
        <x:v>0</x:v>
      </x:c>
      <x:c r="J23" s="29" t="str">
        <x:v>Zrealizowane</x:v>
      </x:c>
      <x:c r="K23" s="76"/>
      <x:c r="L23" s="29" t="str">
        <x:v>OK</x:v>
      </x:c>
      <x:c r="M23" s="29" t="str">
        <x:v>BRAK LUB BŁĄD CENY / OK</x:v>
      </x:c>
    </x:row>
    <x:row r="24">
      <x:c r="A24" s="28" t="str">
        <x:v>ZAM/2025/000930</x:v>
      </x:c>
      <x:c r="B24" s="70" t="n">
        <x:v>45842</x:v>
      </x:c>
      <x:c r="C24" s="28" t="str">
        <x:v>Marketplace</x:v>
      </x:c>
      <x:c r="D24" s="28" t="str">
        <x:v>MIKROFON USB</x:v>
      </x:c>
      <x:c r="E24" s="28" t="str">
        <x:v>EL-1019</x:v>
      </x:c>
      <x:c r="F24" s="28" t="str">
        <x:v>Elektronika</x:v>
      </x:c>
      <x:c r="G24" s="71" t="n">
        <x:v>-1</x:v>
      </x:c>
      <x:c r="H24" s="72" t="n">
        <x:v>1030.72</x:v>
      </x:c>
      <x:c r="I24" s="73" t="n">
        <x:v>0</x:v>
      </x:c>
      <x:c r="J24" s="28" t="str">
        <x:v>Zrealizowane</x:v>
      </x:c>
      <x:c r="K24" s="72"/>
      <x:c r="L24" s="28" t="str">
        <x:v>OK</x:v>
      </x:c>
      <x:c r="M24" s="28" t="str">
        <x:v>OK / Niepoprawna ilość</x:v>
      </x:c>
    </x:row>
    <x:row r="25">
      <x:c r="A25" s="29" t="str">
        <x:v>ZAM/2025/001009</x:v>
      </x:c>
      <x:c r="B25" s="74" t="n">
        <x:v>45962</x:v>
      </x:c>
      <x:c r="C25" s="29" t="str">
        <x:v>Telefon/B2B</x:v>
      </x:c>
      <x:c r="D25" s="29" t="str">
        <x:v>NAWILŻACZ POWIETRZA</x:v>
      </x:c>
      <x:c r="E25" s="29" t="str">
        <x:v>DK-1009</x:v>
      </x:c>
      <x:c r="F25" s="29" t="str">
        <x:v>Dom i kuchnia</x:v>
      </x:c>
      <x:c r="G25" s="75" t="n">
        <x:v>3</x:v>
      </x:c>
      <x:c r="H25" s="76" t="n">
        <x:v>429.78</x:v>
      </x:c>
      <x:c r="I25" s="77" t="n">
        <x:v>0.15</x:v>
      </x:c>
      <x:c r="J25" s="29" t="str">
        <x:v>Zrealizowane</x:v>
      </x:c>
      <x:c r="K25" s="76" t="n">
        <x:v>1095.939</x:v>
      </x:c>
      <x:c r="L25" s="29" t="str">
        <x:v>WYSYŁKA PRZED ZAMÓWIENIEM</x:v>
      </x:c>
      <x:c r="M25" s="29" t="str">
        <x:v>OK / OK</x:v>
      </x:c>
    </x:row>
    <x:row r="26">
      <x:c r="A26" s="28" t="str">
        <x:v>ZAM/2025/001028</x:v>
      </x:c>
      <x:c r="B26" s="70" t="n">
        <x:v>46009</x:v>
      </x:c>
      <x:c r="C26" s="28" t="str">
        <x:v>Sklep stacjonarny</x:v>
      </x:c>
      <x:c r="D26" s="28" t="str">
        <x:v>LAMPKA BIURKOWA LED</x:v>
      </x:c>
      <x:c r="E26" s="28" t="str">
        <x:v>EL-1018</x:v>
      </x:c>
      <x:c r="F26" s="28" t="str">
        <x:v>Elektronika</x:v>
      </x:c>
      <x:c r="G26" s="71"/>
      <x:c r="H26" s="72" t="n">
        <x:v>36.12</x:v>
      </x:c>
      <x:c r="I26" s="73" t="n">
        <x:v>0.15</x:v>
      </x:c>
      <x:c r="J26" s="28" t="str">
        <x:v>Zrealizowane</x:v>
      </x:c>
      <x:c r="K26" s="72"/>
      <x:c r="L26" s="28" t="str">
        <x:v>OK</x:v>
      </x:c>
      <x:c r="M26" s="28" t="str">
        <x:v>OK / Brak podanej ilośći</x:v>
      </x:c>
    </x:row>
    <x:row r="27">
      <x:c r="A27" s="29" t="str">
        <x:v>ZAM/2025/001537</x:v>
      </x:c>
      <x:c r="B27" s="74" t="n">
        <x:v>45868</x:v>
      </x:c>
      <x:c r="C27" s="29" t="str">
        <x:v>Telefon/B2B</x:v>
      </x:c>
      <x:c r="D27" s="29" t="str">
        <x:v>ZSZYWACZ METALOWY</x:v>
      </x:c>
      <x:c r="E27" s="29" t="str">
        <x:v>BI-1017</x:v>
      </x:c>
      <x:c r="F27" s="29" t="str">
        <x:v>Biuro</x:v>
      </x:c>
      <x:c r="G27" s="75" t="n">
        <x:v>0</x:v>
      </x:c>
      <x:c r="H27" s="76" t="n">
        <x:v>101.54</x:v>
      </x:c>
      <x:c r="I27" s="77" t="n">
        <x:v>0</x:v>
      </x:c>
      <x:c r="J27" s="29" t="str">
        <x:v>W realizacji</x:v>
      </x:c>
      <x:c r="K27" s="76"/>
      <x:c r="L27" s="29" t="str">
        <x:v>OK</x:v>
      </x:c>
      <x:c r="M27" s="29" t="str">
        <x:v>OK / Niepoprawna ilość</x:v>
      </x:c>
    </x:row>
    <x:row r="28">
      <x:c r="A28" s="28" t="str">
        <x:v>ZAM/2025/001396</x:v>
      </x:c>
      <x:c r="B28" s="70" t="n">
        <x:v>45770</x:v>
      </x:c>
      <x:c r="C28" s="28" t="str">
        <x:v>Marketplace</x:v>
      </x:c>
      <x:c r="D28" s="28" t="str">
        <x:v>LAMPKA BIURKOWA LED</x:v>
      </x:c>
      <x:c r="E28" s="28" t="str">
        <x:v>EL-1018</x:v>
      </x:c>
      <x:c r="F28" s="28" t="str">
        <x:v>Elektronika</x:v>
      </x:c>
      <x:c r="G28" s="71" t="n">
        <x:v>3</x:v>
      </x:c>
      <x:c r="H28" s="72"/>
      <x:c r="I28" s="73" t="n">
        <x:v>0.05</x:v>
      </x:c>
      <x:c r="J28" s="28" t="str">
        <x:v>Zrealizowane</x:v>
      </x:c>
      <x:c r="K28" s="72"/>
      <x:c r="L28" s="28" t="str">
        <x:v>OK</x:v>
      </x:c>
      <x:c r="M28" s="28" t="str">
        <x:v>BRAK LUB BŁĄD CENY / OK</x:v>
      </x:c>
    </x:row>
    <x:row r="29">
      <x:c r="A29" s="29" t="str">
        <x:v>ZAM/2025/001122</x:v>
      </x:c>
      <x:c r="B29" s="74" t="n">
        <x:v>45665</x:v>
      </x:c>
      <x:c r="C29" s="29" t="str">
        <x:v>Sklep online</x:v>
      </x:c>
      <x:c r="D29" s="29" t="str">
        <x:v>LAMPKA BIURKOWA LED</x:v>
      </x:c>
      <x:c r="E29" s="29" t="str">
        <x:v>EL-1018</x:v>
      </x:c>
      <x:c r="F29" s="29" t="str">
        <x:v>Elektronika</x:v>
      </x:c>
      <x:c r="G29" s="75" t="n">
        <x:v>-2</x:v>
      </x:c>
      <x:c r="H29" s="76" t="n">
        <x:v>38.08</x:v>
      </x:c>
      <x:c r="I29" s="77" t="n">
        <x:v>0.1</x:v>
      </x:c>
      <x:c r="J29" s="29" t="str">
        <x:v>Zwrócone</x:v>
      </x:c>
      <x:c r="K29" s="76"/>
      <x:c r="L29" s="29" t="str">
        <x:v>OK</x:v>
      </x:c>
      <x:c r="M29" s="29" t="str">
        <x:v>OK / Niepoprawna ilość</x:v>
      </x:c>
    </x:row>
    <x:row r="30">
      <x:c r="A30" s="28" t="str">
        <x:v>ZAM/2025/000123</x:v>
      </x:c>
      <x:c r="B30" s="70" t="n">
        <x:v>45794</x:v>
      </x:c>
      <x:c r="C30" s="28" t="str">
        <x:v>Marketplace</x:v>
      </x:c>
      <x:c r="D30" s="28" t="str">
        <x:v>TERMOS 1 L</x:v>
      </x:c>
      <x:c r="E30" s="28" t="str">
        <x:v>DK-1019</x:v>
      </x:c>
      <x:c r="F30" s="28" t="str">
        <x:v>Dom i kuchnia</x:v>
      </x:c>
      <x:c r="G30" s="71" t="n">
        <x:v>0</x:v>
      </x:c>
      <x:c r="H30" s="72" t="n">
        <x:v>247.35</x:v>
      </x:c>
      <x:c r="I30" s="73" t="n">
        <x:v>0.05</x:v>
      </x:c>
      <x:c r="J30" s="28" t="str">
        <x:v>Zwrócone</x:v>
      </x:c>
      <x:c r="K30" s="72"/>
      <x:c r="L30" s="28" t="str">
        <x:v>OK</x:v>
      </x:c>
      <x:c r="M30" s="28" t="str">
        <x:v>OK / Niepoprawna ilość</x:v>
      </x:c>
    </x:row>
    <x:row r="31">
      <x:c r="A31" s="29" t="str">
        <x:v>ZAM/2025/000318</x:v>
      </x:c>
      <x:c r="B31" s="74" t="n">
        <x:v>45841</x:v>
      </x:c>
      <x:c r="C31" s="29" t="str">
        <x:v>Marketplace</x:v>
      </x:c>
      <x:c r="D31" s="29" t="str">
        <x:v>SMARTWATCH ACTIVE</x:v>
      </x:c>
      <x:c r="E31" s="29" t="str">
        <x:v>EL-1016</x:v>
      </x:c>
      <x:c r="F31" s="29" t="str">
        <x:v>Elektronika</x:v>
      </x:c>
      <x:c r="G31" s="75" t="n">
        <x:v>0</x:v>
      </x:c>
      <x:c r="H31" s="76" t="n">
        <x:v>601.75</x:v>
      </x:c>
      <x:c r="I31" s="77" t="n">
        <x:v>0</x:v>
      </x:c>
      <x:c r="J31" s="29" t="str">
        <x:v>Wysłane</x:v>
      </x:c>
      <x:c r="K31" s="76"/>
      <x:c r="L31" s="29" t="str">
        <x:v>OK</x:v>
      </x:c>
      <x:c r="M31" s="29" t="str">
        <x:v>OK / Niepoprawna ilość</x:v>
      </x:c>
    </x:row>
    <x:row r="32">
      <x:c r="A32" s="28" t="str">
        <x:v>ZAM/2025/001232</x:v>
      </x:c>
      <x:c r="B32" s="70" t="n">
        <x:v>45877</x:v>
      </x:c>
      <x:c r="C32" s="28" t="str">
        <x:v>Sklep online</x:v>
      </x:c>
      <x:c r="D32" s="28" t="str">
        <x:v>BLENDER KIELICHOWY</x:v>
      </x:c>
      <x:c r="E32" s="28" t="str">
        <x:v>DK-1002</x:v>
      </x:c>
      <x:c r="F32" s="28" t="str">
        <x:v>Dom i kuchnia</x:v>
      </x:c>
      <x:c r="G32" s="71"/>
      <x:c r="H32" s="72" t="n">
        <x:v>652.97</x:v>
      </x:c>
      <x:c r="I32" s="73" t="n">
        <x:v>0.1</x:v>
      </x:c>
      <x:c r="J32" s="28" t="str">
        <x:v>W realizacji</x:v>
      </x:c>
      <x:c r="K32" s="72"/>
      <x:c r="L32" s="28" t="str">
        <x:v>OK</x:v>
      </x:c>
      <x:c r="M32" s="28" t="str">
        <x:v>OK / Brak podanej ilośći</x:v>
      </x:c>
    </x:row>
    <x:row r="33">
      <x:c r="A33" s="29" t="str">
        <x:v>ZAM/2025/000266</x:v>
      </x:c>
      <x:c r="B33" s="74" t="n">
        <x:v>45921</x:v>
      </x:c>
      <x:c r="C33" s="29" t="str">
        <x:v>Marketplace</x:v>
      </x:c>
      <x:c r="D33" s="29" t="str">
        <x:v>DYSK SSD 1 TB</x:v>
      </x:c>
      <x:c r="E33" s="29" t="str">
        <x:v>EL-1012</x:v>
      </x:c>
      <x:c r="F33" s="29" t="str">
        <x:v>Elektronika</x:v>
      </x:c>
      <x:c r="G33" s="75" t="n">
        <x:v>0</x:v>
      </x:c>
      <x:c r="H33" s="76" t="n">
        <x:v>667.6</x:v>
      </x:c>
      <x:c r="I33" s="77" t="n">
        <x:v>0</x:v>
      </x:c>
      <x:c r="J33" s="29" t="str">
        <x:v>W realizacji</x:v>
      </x:c>
      <x:c r="K33" s="76"/>
      <x:c r="L33" s="29" t="str">
        <x:v>OK</x:v>
      </x:c>
      <x:c r="M33" s="29" t="str">
        <x:v>OK / Niepoprawna ilość</x:v>
      </x:c>
    </x:row>
    <x:row r="34">
      <x:c r="A34" s="28" t="str">
        <x:v>ZAM/2025/000556</x:v>
      </x:c>
      <x:c r="B34" s="70" t="n">
        <x:v>45675</x:v>
      </x:c>
      <x:c r="C34" s="28" t="str">
        <x:v>Telefon/B2B</x:v>
      </x:c>
      <x:c r="D34" s="28" t="str">
        <x:v>KAMERA INTERNETOWA HD</x:v>
      </x:c>
      <x:c r="E34" s="28" t="str">
        <x:v>EL-1005</x:v>
      </x:c>
      <x:c r="F34" s="28" t="str">
        <x:v>Elektronika</x:v>
      </x:c>
      <x:c r="G34" s="71"/>
      <x:c r="H34" s="72" t="n">
        <x:v>122.72</x:v>
      </x:c>
      <x:c r="I34" s="73" t="n">
        <x:v>0.15</x:v>
      </x:c>
      <x:c r="J34" s="28" t="str">
        <x:v>Zrealizowane</x:v>
      </x:c>
      <x:c r="K34" s="72"/>
      <x:c r="L34" s="28" t="str">
        <x:v>OK</x:v>
      </x:c>
      <x:c r="M34" s="28" t="str">
        <x:v>OK / Brak podanej ilośći</x:v>
      </x:c>
    </x:row>
    <x:row r="35">
      <x:c r="A35" s="29" t="str">
        <x:v>ZAM/2025/000935</x:v>
      </x:c>
      <x:c r="B35" s="74" t="n">
        <x:v>45900</x:v>
      </x:c>
      <x:c r="C35" s="29" t="str">
        <x:v>Marketplace</x:v>
      </x:c>
      <x:c r="D35" s="29" t="str">
        <x:v>KALENDARZ KSIĄŻKOWY</x:v>
      </x:c>
      <x:c r="E35" s="29" t="str">
        <x:v>BI-1006</x:v>
      </x:c>
      <x:c r="F35" s="29" t="str">
        <x:v>Biuro</x:v>
      </x:c>
      <x:c r="G35" s="75" t="n">
        <x:v>-1</x:v>
      </x:c>
      <x:c r="H35" s="76" t="n">
        <x:v>612.52</x:v>
      </x:c>
      <x:c r="I35" s="77" t="n">
        <x:v>0.1</x:v>
      </x:c>
      <x:c r="J35" s="29" t="str">
        <x:v>Zrealizowane</x:v>
      </x:c>
      <x:c r="K35" s="76"/>
      <x:c r="L35" s="29" t="str">
        <x:v>OK</x:v>
      </x:c>
      <x:c r="M35" s="29" t="str">
        <x:v>OK / Niepoprawna ilość</x:v>
      </x:c>
    </x:row>
    <x:row r="36">
      <x:c r="A36" s="28" t="str">
        <x:v>ZAM/2025/000555</x:v>
      </x:c>
      <x:c r="B36" s="70" t="n">
        <x:v>45976</x:v>
      </x:c>
      <x:c r="C36" s="28" t="str">
        <x:v>Sklep online</x:v>
      </x:c>
      <x:c r="D36" s="28" t="str">
        <x:v>KAMERA INTERNETOWA HD</x:v>
      </x:c>
      <x:c r="E36" s="28" t="str">
        <x:v>EL-1005</x:v>
      </x:c>
      <x:c r="F36" s="28" t="str">
        <x:v>Elektronika</x:v>
      </x:c>
      <x:c r="G36" s="71" t="n">
        <x:v>1</x:v>
      </x:c>
      <x:c r="H36" s="72" t="n">
        <x:v>135.04</x:v>
      </x:c>
      <x:c r="I36" s="73" t="n">
        <x:v>0</x:v>
      </x:c>
      <x:c r="J36" s="28" t="str">
        <x:v>Zrealizowane</x:v>
      </x:c>
      <x:c r="K36" s="72" t="n">
        <x:v>135.04</x:v>
      </x:c>
      <x:c r="L36" s="28" t="str">
        <x:v>WYSYŁKA PRZED ZAMÓWIENIEM</x:v>
      </x:c>
      <x:c r="M36" s="28" t="str">
        <x:v>OK / OK</x:v>
      </x:c>
    </x:row>
    <x:row r="37">
      <x:c r="A37" s="29" t="str">
        <x:v>ZAM/2025/001304</x:v>
      </x:c>
      <x:c r="B37" s="74" t="n">
        <x:v>45774</x:v>
      </x:c>
      <x:c r="C37" s="29" t="str">
        <x:v>Sklep online</x:v>
      </x:c>
      <x:c r="D37" s="29" t="str">
        <x:v>TORBA SPORTOWA</x:v>
      </x:c>
      <x:c r="E37" s="29" t="str">
        <x:v>ST-1013</x:v>
      </x:c>
      <x:c r="F37" s="29" t="str">
        <x:v>Sport i turystyka</x:v>
      </x:c>
      <x:c r="G37" s="75" t="n">
        <x:v>-1</x:v>
      </x:c>
      <x:c r="H37" s="76" t="n">
        <x:v>1155.83</x:v>
      </x:c>
      <x:c r="I37" s="77" t="n">
        <x:v>0.2</x:v>
      </x:c>
      <x:c r="J37" s="29" t="str">
        <x:v>Zrealizowane</x:v>
      </x:c>
      <x:c r="K37" s="76"/>
      <x:c r="L37" s="29" t="str">
        <x:v>OK</x:v>
      </x:c>
      <x:c r="M37" s="29" t="str">
        <x:v>OK / Niepoprawna ilość</x:v>
      </x:c>
    </x:row>
    <x:row r="38">
      <x:c r="A38" s="28" t="str">
        <x:v>ZAM/2025/001420</x:v>
      </x:c>
      <x:c r="B38" s="70" t="n">
        <x:v>46176</x:v>
      </x:c>
      <x:c r="C38" s="28" t="str">
        <x:v>Sklep online</x:v>
      </x:c>
      <x:c r="D38" s="28" t="str">
        <x:v>ZESTAW POJEMNIKÓW</x:v>
      </x:c>
      <x:c r="E38" s="28" t="str">
        <x:v>DK-1007</x:v>
      </x:c>
      <x:c r="F38" s="28" t="str">
        <x:v>Dom i kuchnia</x:v>
      </x:c>
      <x:c r="G38" s="71" t="n">
        <x:v>1</x:v>
      </x:c>
      <x:c r="H38" s="72" t="n">
        <x:v>1011.25</x:v>
      </x:c>
      <x:c r="I38" s="73" t="n">
        <x:v>0.1</x:v>
      </x:c>
      <x:c r="J38" s="28" t="str">
        <x:v>Zrealizowane</x:v>
      </x:c>
      <x:c r="K38" s="72" t="n">
        <x:v>910.125</x:v>
      </x:c>
      <x:c r="L38" s="28" t="str">
        <x:v>WYSYŁKA PRZED ZAMÓWIENIEM</x:v>
      </x:c>
      <x:c r="M38" s="28" t="str">
        <x:v>OK / OK</x:v>
      </x:c>
    </x:row>
    <x:row r="39">
      <x:c r="A39" s="29" t="str">
        <x:v>ZAM/2025/000527</x:v>
      </x:c>
      <x:c r="B39" s="74" t="n">
        <x:v>45819</x:v>
      </x:c>
      <x:c r="C39" s="29" t="str">
        <x:v>Sklep online</x:v>
      </x:c>
      <x:c r="D39" s="29" t="str">
        <x:v>GOLARKA ELEKTRYCZNA</x:v>
      </x:c>
      <x:c r="E39" s="29" t="str">
        <x:v>UZ-1013</x:v>
      </x:c>
      <x:c r="F39" s="29" t="str">
        <x:v>Uroda i zdrowie</x:v>
      </x:c>
      <x:c r="G39" s="75" t="n">
        <x:v>3</x:v>
      </x:c>
      <x:c r="H39" s="76" t="n">
        <x:v>303.14</x:v>
      </x:c>
      <x:c r="I39" s="77" t="n">
        <x:v>0.1</x:v>
      </x:c>
      <x:c r="J39" s="29" t="str">
        <x:v>Zrealizowane</x:v>
      </x:c>
      <x:c r="K39" s="76" t="n">
        <x:v>818.478</x:v>
      </x:c>
      <x:c r="L39" s="29" t="str">
        <x:v>WYSYŁKA PRZED ZAMÓWIENIEM</x:v>
      </x:c>
      <x:c r="M39" s="29" t="str">
        <x:v>OK / OK</x:v>
      </x:c>
    </x:row>
    <x:row r="40">
      <x:c r="A40" s="28" t="str">
        <x:v>ZAM/2025/000128</x:v>
      </x:c>
      <x:c r="B40" s="70" t="n">
        <x:v>46005</x:v>
      </x:c>
      <x:c r="C40" s="28" t="str">
        <x:v>Marketplace</x:v>
      </x:c>
      <x:c r="D40" s="28" t="str">
        <x:v>PODUSZKA ELEKTRYCZNA</x:v>
      </x:c>
      <x:c r="E40" s="28" t="str">
        <x:v>UZ-1015</x:v>
      </x:c>
      <x:c r="F40" s="28" t="str">
        <x:v>Uroda i zdrowie</x:v>
      </x:c>
      <x:c r="G40" s="71" t="n">
        <x:v>2</x:v>
      </x:c>
      <x:c r="H40" s="72"/>
      <x:c r="I40" s="73" t="n">
        <x:v>0</x:v>
      </x:c>
      <x:c r="J40" s="28" t="str">
        <x:v>Zwrócone</x:v>
      </x:c>
      <x:c r="K40" s="72"/>
      <x:c r="L40" s="28" t="str">
        <x:v>OK</x:v>
      </x:c>
      <x:c r="M40" s="28" t="str">
        <x:v>BRAK LUB BŁĄD CENY / OK</x:v>
      </x:c>
    </x:row>
    <x:row r="41">
      <x:c r="A41" s="29" t="str">
        <x:v>ZAM/2025/001100</x:v>
      </x:c>
      <x:c r="B41" s="74" t="n">
        <x:v>45762</x:v>
      </x:c>
      <x:c r="C41" s="29" t="str">
        <x:v>Marketplace</x:v>
      </x:c>
      <x:c r="D41" s="29" t="str">
        <x:v>GOLARKA ELEKTRYCZNA</x:v>
      </x:c>
      <x:c r="E41" s="29" t="str">
        <x:v>UZ-1013</x:v>
      </x:c>
      <x:c r="F41" s="29" t="str">
        <x:v>Uroda i zdrowie</x:v>
      </x:c>
      <x:c r="G41" s="75" t="n">
        <x:v>-10</x:v>
      </x:c>
      <x:c r="H41" s="76" t="n">
        <x:v>302.03</x:v>
      </x:c>
      <x:c r="I41" s="77" t="n">
        <x:v>0</x:v>
      </x:c>
      <x:c r="J41" s="29" t="str">
        <x:v>Zrealizowane</x:v>
      </x:c>
      <x:c r="K41" s="76"/>
      <x:c r="L41" s="29" t="str">
        <x:v>OK</x:v>
      </x:c>
      <x:c r="M41" s="29" t="str">
        <x:v>OK / Niepoprawna ilość</x:v>
      </x:c>
    </x:row>
    <x:row r="42">
      <x:c r="A42" s="28" t="str">
        <x:v>ZAM/2025/000146</x:v>
      </x:c>
      <x:c r="B42" s="70" t="n">
        <x:v>45873</x:v>
      </x:c>
      <x:c r="C42" s="28" t="str">
        <x:v>Marketplace</x:v>
      </x:c>
      <x:c r="D42" s="28" t="str">
        <x:v>SMARTWATCH ACTIVE</x:v>
      </x:c>
      <x:c r="E42" s="28" t="str">
        <x:v>EL-1016</x:v>
      </x:c>
      <x:c r="F42" s="28" t="str">
        <x:v>Elektronika</x:v>
      </x:c>
      <x:c r="G42" s="71" t="n">
        <x:v>-4</x:v>
      </x:c>
      <x:c r="H42" s="72" t="n">
        <x:v>615.09</x:v>
      </x:c>
      <x:c r="I42" s="73" t="n">
        <x:v>0</x:v>
      </x:c>
      <x:c r="J42" s="28" t="str">
        <x:v>Zrealizowane</x:v>
      </x:c>
      <x:c r="K42" s="72"/>
      <x:c r="L42" s="28" t="str">
        <x:v>OK</x:v>
      </x:c>
      <x:c r="M42" s="28" t="str">
        <x:v>OK / Niepoprawna ilość</x:v>
      </x:c>
    </x:row>
    <x:row r="43">
      <x:c r="A43" s="29" t="str">
        <x:v>ZAM/2025/000035</x:v>
      </x:c>
      <x:c r="B43" s="74" t="n">
        <x:v>45886</x:v>
      </x:c>
      <x:c r="C43" s="29" t="str">
        <x:v>Sklep online</x:v>
      </x:c>
      <x:c r="D43" s="29" t="str">
        <x:v>KALENDARZ KSIĄŻKOWY</x:v>
      </x:c>
      <x:c r="E43" s="29" t="str">
        <x:v>BI-1006</x:v>
      </x:c>
      <x:c r="F43" s="29" t="str">
        <x:v>Biuro</x:v>
      </x:c>
      <x:c r="G43" s="75"/>
      <x:c r="H43" s="76" t="n">
        <x:v>596</x:v>
      </x:c>
      <x:c r="I43" s="77" t="n">
        <x:v>0.15</x:v>
      </x:c>
      <x:c r="J43" s="29" t="str">
        <x:v>Zrealizowane</x:v>
      </x:c>
      <x:c r="K43" s="76"/>
      <x:c r="L43" s="29" t="str">
        <x:v>OK</x:v>
      </x:c>
      <x:c r="M43" s="29" t="str">
        <x:v>OK / Brak podanej ilośći</x:v>
      </x:c>
    </x:row>
    <x:row r="44">
      <x:c r="A44" s="28" t="str">
        <x:v>ZAM/2025/000929</x:v>
      </x:c>
      <x:c r="B44" s="70" t="n">
        <x:v>45768</x:v>
      </x:c>
      <x:c r="C44" s="28" t="str">
        <x:v>Sklep stacjonarny</x:v>
      </x:c>
      <x:c r="D44" s="28" t="str">
        <x:v>RĘCZNIK KĄPIELOWY</x:v>
      </x:c>
      <x:c r="E44" s="28" t="str">
        <x:v>DK-1016</x:v>
      </x:c>
      <x:c r="F44" s="28" t="str">
        <x:v>Dom i kuchnia</x:v>
      </x:c>
      <x:c r="G44" s="71" t="n">
        <x:v>-1</x:v>
      </x:c>
      <x:c r="H44" s="72" t="n">
        <x:v>830.98</x:v>
      </x:c>
      <x:c r="I44" s="73" t="n">
        <x:v>0.1</x:v>
      </x:c>
      <x:c r="J44" s="28" t="str">
        <x:v>Zrealizowane</x:v>
      </x:c>
      <x:c r="K44" s="72"/>
      <x:c r="L44" s="28" t="str">
        <x:v>OK</x:v>
      </x:c>
      <x:c r="M44" s="28" t="str">
        <x:v>OK / Niepoprawna ilość</x:v>
      </x:c>
    </x:row>
    <x:row r="45">
      <x:c r="A45" s="29" t="str">
        <x:v>ZAM/2025/000289</x:v>
      </x:c>
      <x:c r="B45" s="74" t="n">
        <x:v>45860</x:v>
      </x:c>
      <x:c r="C45" s="29" t="str">
        <x:v>Telefon/B2B</x:v>
      </x:c>
      <x:c r="D45" s="29" t="str">
        <x:v>HUB USB-C 7W1</x:v>
      </x:c>
      <x:c r="E45" s="29" t="str">
        <x:v>EL-1009</x:v>
      </x:c>
      <x:c r="F45" s="29" t="str">
        <x:v>Elektronika</x:v>
      </x:c>
      <x:c r="G45" s="75" t="n">
        <x:v>1</x:v>
      </x:c>
      <x:c r="H45" s="76" t="n">
        <x:v>577.98</x:v>
      </x:c>
      <x:c r="I45" s="77" t="n">
        <x:v>0</x:v>
      </x:c>
      <x:c r="J45" s="29" t="str">
        <x:v>Zwrócone</x:v>
      </x:c>
      <x:c r="K45" s="76" t="n">
        <x:v>577.98</x:v>
      </x:c>
      <x:c r="L45" s="29" t="str">
        <x:v>WYSYŁKA PRZED ZAMÓWIENIEM</x:v>
      </x:c>
      <x:c r="M45" s="29" t="str">
        <x:v>OK / OK</x:v>
      </x:c>
    </x:row>
    <x:row r="46">
      <x:c r="A46" s="28" t="str">
        <x:v>ZAM/2025/000977</x:v>
      </x:c>
      <x:c r="B46" s="70" t="n">
        <x:v>46037</x:v>
      </x:c>
      <x:c r="C46" s="28" t="str">
        <x:v>Telefon/B2B</x:v>
      </x:c>
      <x:c r="D46" s="28" t="str">
        <x:v>KARTA PAMIĘCI 128 GB</x:v>
      </x:c>
      <x:c r="E46" s="28" t="str">
        <x:v>EL-1014</x:v>
      </x:c>
      <x:c r="F46" s="28" t="str">
        <x:v>Elektronika</x:v>
      </x:c>
      <x:c r="G46" s="71" t="n">
        <x:v>2</x:v>
      </x:c>
      <x:c r="H46" s="72" t="n">
        <x:v>48.86</x:v>
      </x:c>
      <x:c r="I46" s="73" t="n">
        <x:v>0</x:v>
      </x:c>
      <x:c r="J46" s="28" t="str">
        <x:v>Zrealizowane</x:v>
      </x:c>
      <x:c r="K46" s="72" t="n">
        <x:v>97.72</x:v>
      </x:c>
      <x:c r="L46" s="28" t="str">
        <x:v>WYSYŁKA PRZED ZAMÓWIENIEM</x:v>
      </x:c>
      <x:c r="M46" s="28" t="str">
        <x:v>OK / OK</x:v>
      </x:c>
    </x:row>
    <x:row r="47">
      <x:c r="A47" s="29" t="str">
        <x:v>ZAM/2025/001294</x:v>
      </x:c>
      <x:c r="B47" s="74" t="n">
        <x:v>45842</x:v>
      </x:c>
      <x:c r="C47" s="29" t="str">
        <x:v>Sklep stacjonarny</x:v>
      </x:c>
      <x:c r="D47" s="29" t="str">
        <x:v>KLAWIATURA MECHANICZNA</x:v>
      </x:c>
      <x:c r="E47" s="29" t="str">
        <x:v>EL-1003</x:v>
      </x:c>
      <x:c r="F47" s="29" t="str">
        <x:v>Elektronika</x:v>
      </x:c>
      <x:c r="G47" s="75" t="n">
        <x:v>0</x:v>
      </x:c>
      <x:c r="H47" s="76" t="n">
        <x:v>334.81</x:v>
      </x:c>
      <x:c r="I47" s="77" t="n">
        <x:v>0</x:v>
      </x:c>
      <x:c r="J47" s="29" t="str">
        <x:v>Zrealizowane</x:v>
      </x:c>
      <x:c r="K47" s="76"/>
      <x:c r="L47" s="29" t="str">
        <x:v>OK</x:v>
      </x:c>
      <x:c r="M47" s="29" t="str">
        <x:v>OK / Niepoprawna ilość</x:v>
      </x:c>
    </x:row>
    <x:row r="48">
      <x:c r="A48" s="28" t="str">
        <x:v>ZAM/2025/001522</x:v>
      </x:c>
      <x:c r="B48" s="70" t="n">
        <x:v>45790</x:v>
      </x:c>
      <x:c r="C48" s="28" t="str">
        <x:v>Sklep online</x:v>
      </x:c>
      <x:c r="D48" s="28" t="str">
        <x:v>MONITOR 27 CALI</x:v>
      </x:c>
      <x:c r="E48" s="28" t="str">
        <x:v>EL-1011</x:v>
      </x:c>
      <x:c r="F48" s="28" t="str">
        <x:v>Elektronika</x:v>
      </x:c>
      <x:c r="G48" s="71" t="n">
        <x:v>2</x:v>
      </x:c>
      <x:c r="H48" s="72" t="n">
        <x:v>695.66</x:v>
      </x:c>
      <x:c r="I48" s="73" t="n">
        <x:v>0</x:v>
      </x:c>
      <x:c r="J48" s="28" t="str">
        <x:v>Zrealizowane</x:v>
      </x:c>
      <x:c r="K48" s="72" t="n">
        <x:v>1391.32</x:v>
      </x:c>
      <x:c r="L48" s="28" t="str">
        <x:v>WYSYŁKA PRZED ZAMÓWIENIEM</x:v>
      </x:c>
      <x:c r="M48" s="28" t="str">
        <x:v>OK / OK</x:v>
      </x:c>
    </x:row>
    <x:row r="49">
      <x:c r="A49" s="29" t="str">
        <x:v>ZAM/2025/000516</x:v>
      </x:c>
      <x:c r="B49" s="74" t="n">
        <x:v>45675</x:v>
      </x:c>
      <x:c r="C49" s="29" t="str">
        <x:v>Sklep stacjonarny</x:v>
      </x:c>
      <x:c r="D49" s="29" t="str">
        <x:v>KARTA PAMIĘCI 128 GB</x:v>
      </x:c>
      <x:c r="E49" s="29" t="str">
        <x:v>EL-1014</x:v>
      </x:c>
      <x:c r="F49" s="29" t="str">
        <x:v>Elektronika</x:v>
      </x:c>
      <x:c r="G49" s="75"/>
      <x:c r="H49" s="76" t="n">
        <x:v>47.41</x:v>
      </x:c>
      <x:c r="I49" s="77" t="n">
        <x:v>0</x:v>
      </x:c>
      <x:c r="J49" s="29" t="str">
        <x:v>Zrealizowane</x:v>
      </x:c>
      <x:c r="K49" s="76"/>
      <x:c r="L49" s="29" t="str">
        <x:v>OK</x:v>
      </x:c>
      <x:c r="M49" s="29" t="str">
        <x:v>OK / Brak podanej ilośći</x:v>
      </x:c>
    </x:row>
    <x:row r="50">
      <x:c r="A50" s="28" t="str">
        <x:v>ZAM/2025/001136</x:v>
      </x:c>
      <x:c r="B50" s="70" t="n">
        <x:v>46021</x:v>
      </x:c>
      <x:c r="C50" s="28" t="str">
        <x:v>Sklep online</x:v>
      </x:c>
      <x:c r="D50" s="28" t="str">
        <x:v>KAMERA INTERNETOWA HD</x:v>
      </x:c>
      <x:c r="E50" s="28" t="str">
        <x:v>EL-1005</x:v>
      </x:c>
      <x:c r="F50" s="28" t="str">
        <x:v>Elektronika</x:v>
      </x:c>
      <x:c r="G50" s="71" t="n">
        <x:v>2</x:v>
      </x:c>
      <x:c r="H50" s="72"/>
      <x:c r="I50" s="73" t="n">
        <x:v>0</x:v>
      </x:c>
      <x:c r="J50" s="28" t="str">
        <x:v>Zrealizowane</x:v>
      </x:c>
      <x:c r="K50" s="72"/>
      <x:c r="L50" s="28" t="str">
        <x:v>OK</x:v>
      </x:c>
      <x:c r="M50" s="28" t="str">
        <x:v>BRAK LUB BŁĄD CENY / OK</x:v>
      </x:c>
    </x:row>
    <x:row r="51">
      <x:c r="A51" s="29" t="str">
        <x:v>ZAM/2025/000932</x:v>
      </x:c>
      <x:c r="B51" s="74" t="n">
        <x:v>45813</x:v>
      </x:c>
      <x:c r="C51" s="29" t="str">
        <x:v>Sklep online</x:v>
      </x:c>
      <x:c r="D51" s="29" t="str">
        <x:v>GŁOŚNIK BLUETOOTH</x:v>
      </x:c>
      <x:c r="E51" s="29" t="str">
        <x:v>EL-1006</x:v>
      </x:c>
      <x:c r="F51" s="29" t="str">
        <x:v>Elektronika</x:v>
      </x:c>
      <x:c r="G51" s="75" t="n">
        <x:v>10</x:v>
      </x:c>
      <x:c r="H51" s="76"/>
      <x:c r="I51" s="77" t="n">
        <x:v>0</x:v>
      </x:c>
      <x:c r="J51" s="29" t="str">
        <x:v>Zrealizowane</x:v>
      </x:c>
      <x:c r="K51" s="76"/>
      <x:c r="L51" s="29" t="str">
        <x:v>OK</x:v>
      </x:c>
      <x:c r="M51" s="29" t="str">
        <x:v>BRAK LUB BŁĄD CENY / OK</x:v>
      </x:c>
    </x:row>
    <x:row r="52">
      <x:c r="A52" s="28" t="str">
        <x:v>ZAM/2025/000151</x:v>
      </x:c>
      <x:c r="B52" s="70" t="n">
        <x:v>45972</x:v>
      </x:c>
      <x:c r="C52" s="28" t="str">
        <x:v>Sklep online</x:v>
      </x:c>
      <x:c r="D52" s="28" t="str">
        <x:v>MARKER DO TABLIC 4 SZT.</x:v>
      </x:c>
      <x:c r="E52" s="28" t="str">
        <x:v>BI-1015</x:v>
      </x:c>
      <x:c r="F52" s="28" t="str">
        <x:v>Biuro</x:v>
      </x:c>
      <x:c r="G52" s="71" t="n">
        <x:v>-1</x:v>
      </x:c>
      <x:c r="H52" s="72" t="n">
        <x:v>821.9</x:v>
      </x:c>
      <x:c r="I52" s="73" t="n">
        <x:v>0.05</x:v>
      </x:c>
      <x:c r="J52" s="28" t="str">
        <x:v>Zrealizowane</x:v>
      </x:c>
      <x:c r="K52" s="72"/>
      <x:c r="L52" s="28" t="str">
        <x:v>OK</x:v>
      </x:c>
      <x:c r="M52" s="28" t="str">
        <x:v>OK / Niepoprawna ilość</x:v>
      </x:c>
    </x:row>
    <x:row r="53">
      <x:c r="A53" s="29" t="str">
        <x:v>ZAM/2025/000320</x:v>
      </x:c>
      <x:c r="B53" s="74" t="n">
        <x:v>45682</x:v>
      </x:c>
      <x:c r="C53" s="29" t="str">
        <x:v>Sklep online</x:v>
      </x:c>
      <x:c r="D53" s="29" t="str">
        <x:v>KRZESŁO BIUROWE ERGO</x:v>
      </x:c>
      <x:c r="E53" s="29" t="str">
        <x:v>BI-1011</x:v>
      </x:c>
      <x:c r="F53" s="29" t="str">
        <x:v>Biuro</x:v>
      </x:c>
      <x:c r="G53" s="75"/>
      <x:c r="H53" s="76" t="n">
        <x:v>600.54</x:v>
      </x:c>
      <x:c r="I53" s="77" t="n">
        <x:v>0.1</x:v>
      </x:c>
      <x:c r="J53" s="29" t="str">
        <x:v>Zrealizowane</x:v>
      </x:c>
      <x:c r="K53" s="76"/>
      <x:c r="L53" s="29" t="str">
        <x:v>OK</x:v>
      </x:c>
      <x:c r="M53" s="29" t="str">
        <x:v>OK / Brak podanej ilośći</x:v>
      </x:c>
    </x:row>
    <x:row r="54">
      <x:c r="A54" s="28" t="str">
        <x:v>ZAM/2025/000892</x:v>
      </x:c>
      <x:c r="B54" s="70" t="n">
        <x:v>46020</x:v>
      </x:c>
      <x:c r="C54" s="28" t="str">
        <x:v>Sklep stacjonarny</x:v>
      </x:c>
      <x:c r="D54" s="28" t="str">
        <x:v>LAMPKA BIURKOWA LED</x:v>
      </x:c>
      <x:c r="E54" s="28" t="str">
        <x:v>EL-1018</x:v>
      </x:c>
      <x:c r="F54" s="28" t="str">
        <x:v>Elektronika</x:v>
      </x:c>
      <x:c r="G54" s="71"/>
      <x:c r="H54" s="72" t="n">
        <x:v>36.75</x:v>
      </x:c>
      <x:c r="I54" s="73" t="n">
        <x:v>0.1</x:v>
      </x:c>
      <x:c r="J54" s="28" t="str">
        <x:v>Wysłane</x:v>
      </x:c>
      <x:c r="K54" s="72"/>
      <x:c r="L54" s="28" t="str">
        <x:v>OK</x:v>
      </x:c>
      <x:c r="M54" s="28" t="str">
        <x:v>OK / Brak podanej ilośći</x:v>
      </x:c>
    </x:row>
    <x:row r="55">
      <x:c r="A55" s="29" t="str">
        <x:v>ZAM/2025/001145</x:v>
      </x:c>
      <x:c r="B55" s="74" t="n">
        <x:v>45774</x:v>
      </x:c>
      <x:c r="C55" s="29" t="str">
        <x:v>Sklep stacjonarny</x:v>
      </x:c>
      <x:c r="D55" s="29" t="str">
        <x:v>ROUTER WI-FI 6</x:v>
      </x:c>
      <x:c r="E55" s="29" t="str">
        <x:v>EL-1015</x:v>
      </x:c>
      <x:c r="F55" s="29" t="str">
        <x:v>Elektronika</x:v>
      </x:c>
      <x:c r="G55" s="75" t="n">
        <x:v>-1</x:v>
      </x:c>
      <x:c r="H55" s="76" t="n">
        <x:v>127.23</x:v>
      </x:c>
      <x:c r="I55" s="77" t="n">
        <x:v>0.2</x:v>
      </x:c>
      <x:c r="J55" s="29" t="str">
        <x:v>W realizacji</x:v>
      </x:c>
      <x:c r="K55" s="76"/>
      <x:c r="L55" s="29" t="str">
        <x:v>OK</x:v>
      </x:c>
      <x:c r="M55" s="29" t="str">
        <x:v>OK / Niepoprawna ilość</x:v>
      </x:c>
    </x:row>
    <x:row r="56">
      <x:c r="A56" s="28" t="str">
        <x:v>ZAM/2025/000416</x:v>
      </x:c>
      <x:c r="B56" s="70" t="n">
        <x:v>45784</x:v>
      </x:c>
      <x:c r="C56" s="28" t="str">
        <x:v>Marketplace</x:v>
      </x:c>
      <x:c r="D56" s="28" t="str">
        <x:v>DESKA DO PRASOWANIA</x:v>
      </x:c>
      <x:c r="E56" s="28" t="str">
        <x:v>DK-1014</x:v>
      </x:c>
      <x:c r="F56" s="28" t="str">
        <x:v>Dom i kuchnia</x:v>
      </x:c>
      <x:c r="G56" s="71"/>
      <x:c r="H56" s="72" t="n">
        <x:v>144.16</x:v>
      </x:c>
      <x:c r="I56" s="73" t="n">
        <x:v>0</x:v>
      </x:c>
      <x:c r="J56" s="28" t="str">
        <x:v>Zrealizowane</x:v>
      </x:c>
      <x:c r="K56" s="72"/>
      <x:c r="L56" s="28" t="str">
        <x:v>OK</x:v>
      </x:c>
      <x:c r="M56" s="28" t="str">
        <x:v>OK / Brak podanej ilośći</x:v>
      </x:c>
    </x:row>
    <x:row r="57">
      <x:c r="A57" s="29" t="str">
        <x:v>ZAM/2025/000208</x:v>
      </x:c>
      <x:c r="B57" s="74" t="n">
        <x:v>45772</x:v>
      </x:c>
      <x:c r="C57" s="29" t="str">
        <x:v>Marketplace</x:v>
      </x:c>
      <x:c r="D57" s="29" t="str">
        <x:v>WAGA ŁAZIENKOWA</x:v>
      </x:c>
      <x:c r="E57" s="29" t="str">
        <x:v>UZ-1006</x:v>
      </x:c>
      <x:c r="F57" s="29" t="str">
        <x:v>Uroda i zdrowie</x:v>
      </x:c>
      <x:c r="G57" s="75" t="n">
        <x:v>-2</x:v>
      </x:c>
      <x:c r="H57" s="76" t="n">
        <x:v>117.37</x:v>
      </x:c>
      <x:c r="I57" s="77" t="n">
        <x:v>0.05</x:v>
      </x:c>
      <x:c r="J57" s="29" t="str">
        <x:v>Zrealizowane</x:v>
      </x:c>
      <x:c r="K57" s="76"/>
      <x:c r="L57" s="29" t="str">
        <x:v>OK</x:v>
      </x:c>
      <x:c r="M57" s="29" t="str">
        <x:v>OK / Niepoprawna ilość</x:v>
      </x:c>
    </x:row>
    <x:row r="58">
      <x:c r="A58" s="28" t="str">
        <x:v>ZAM/2025/000680</x:v>
      </x:c>
      <x:c r="B58" s="70" t="n">
        <x:v>45998</x:v>
      </x:c>
      <x:c r="C58" s="28" t="str">
        <x:v>Marketplace</x:v>
      </x:c>
      <x:c r="D58" s="28" t="str">
        <x:v>TRYMER WIELOFUNKCYJNY</x:v>
      </x:c>
      <x:c r="E58" s="28" t="str">
        <x:v>UZ-1005</x:v>
      </x:c>
      <x:c r="F58" s="28" t="str">
        <x:v>Uroda i zdrowie</x:v>
      </x:c>
      <x:c r="G58" s="71" t="n">
        <x:v>-1</x:v>
      </x:c>
      <x:c r="H58" s="72" t="n">
        <x:v>417.36</x:v>
      </x:c>
      <x:c r="I58" s="73" t="n">
        <x:v>0</x:v>
      </x:c>
      <x:c r="J58" s="28" t="str">
        <x:v>Zrealizowane</x:v>
      </x:c>
      <x:c r="K58" s="72"/>
      <x:c r="L58" s="28" t="str">
        <x:v>OK</x:v>
      </x:c>
      <x:c r="M58" s="28" t="str">
        <x:v>OK / Niepoprawna ilość</x:v>
      </x:c>
    </x:row>
    <x:row r="59">
      <x:c r="A59" s="29" t="str">
        <x:v>ZAM/2025/001038</x:v>
      </x:c>
      <x:c r="B59" s="74" t="n">
        <x:v>45698</x:v>
      </x:c>
      <x:c r="C59" s="29" t="str">
        <x:v>Sklep online</x:v>
      </x:c>
      <x:c r="D59" s="29" t="str">
        <x:v>TRYMER WIELOFUNKCYJNY</x:v>
      </x:c>
      <x:c r="E59" s="29" t="str">
        <x:v>UZ-1005</x:v>
      </x:c>
      <x:c r="F59" s="29" t="str">
        <x:v>Uroda i zdrowie</x:v>
      </x:c>
      <x:c r="G59" s="75"/>
      <x:c r="H59" s="76" t="n">
        <x:v>466.74</x:v>
      </x:c>
      <x:c r="I59" s="77" t="n">
        <x:v>0</x:v>
      </x:c>
      <x:c r="J59" s="29" t="str">
        <x:v>Zrealizowane</x:v>
      </x:c>
      <x:c r="K59" s="76"/>
      <x:c r="L59" s="29" t="str">
        <x:v>OK</x:v>
      </x:c>
      <x:c r="M59" s="29" t="str">
        <x:v>OK / Brak podanej ilośći</x:v>
      </x:c>
    </x:row>
    <x:row r="60">
      <x:c r="A60" s="28" t="str">
        <x:v>ZAM/2025/001326</x:v>
      </x:c>
      <x:c r="B60" s="70" t="n">
        <x:v>45838</x:v>
      </x:c>
      <x:c r="C60" s="28" t="str">
        <x:v>Sklep online</x:v>
      </x:c>
      <x:c r="D60" s="28" t="str">
        <x:v>MASAŻER KARKU</x:v>
      </x:c>
      <x:c r="E60" s="28" t="str">
        <x:v>UZ-1009</x:v>
      </x:c>
      <x:c r="F60" s="28" t="str">
        <x:v>Uroda i zdrowie</x:v>
      </x:c>
      <x:c r="G60" s="71" t="n">
        <x:v>5</x:v>
      </x:c>
      <x:c r="H60" s="72" t="n">
        <x:v>753.43</x:v>
      </x:c>
      <x:c r="I60" s="73" t="n">
        <x:v>0</x:v>
      </x:c>
      <x:c r="J60" s="28" t="str">
        <x:v>Zrealizowane</x:v>
      </x:c>
      <x:c r="K60" s="72" t="n">
        <x:v>3767.15</x:v>
      </x:c>
      <x:c r="L60" s="28" t="str">
        <x:v>WYSYŁKA PRZED ZAMÓWIENIEM</x:v>
      </x:c>
      <x:c r="M60" s="28" t="str">
        <x:v>OK / OK</x:v>
      </x:c>
    </x:row>
    <x:row r="61">
      <x:c r="A61" s="29" t="str">
        <x:v>ZAM/2025/000297</x:v>
      </x:c>
      <x:c r="B61" s="74" t="n">
        <x:v>45873</x:v>
      </x:c>
      <x:c r="C61" s="29" t="str">
        <x:v>Telefon/B2B</x:v>
      </x:c>
      <x:c r="D61" s="29" t="str">
        <x:v>ZSZYWACZ METALOWY</x:v>
      </x:c>
      <x:c r="E61" s="29" t="str">
        <x:v>BI-1017</x:v>
      </x:c>
      <x:c r="F61" s="29" t="str">
        <x:v>Biuro</x:v>
      </x:c>
      <x:c r="G61" s="75" t="n">
        <x:v>10</x:v>
      </x:c>
      <x:c r="H61" s="76"/>
      <x:c r="I61" s="77" t="n">
        <x:v>0.1</x:v>
      </x:c>
      <x:c r="J61" s="29" t="str">
        <x:v>Zwrócone</x:v>
      </x:c>
      <x:c r="K61" s="76"/>
      <x:c r="L61" s="29" t="str">
        <x:v>OK</x:v>
      </x:c>
      <x:c r="M61" s="29" t="str">
        <x:v>BRAK LUB BŁĄD CENY / OK</x:v>
      </x:c>
    </x:row>
    <x:row r="62">
      <x:c r="A62" s="28" t="str">
        <x:v>ZAM/2025/001051</x:v>
      </x:c>
      <x:c r="B62" s="70" t="n">
        <x:v>45840</x:v>
      </x:c>
      <x:c r="C62" s="28" t="str">
        <x:v>Marketplace</x:v>
      </x:c>
      <x:c r="D62" s="28" t="str">
        <x:v>KOŃCÓWKI DO SZCZOTECZKI 4 SZT.</x:v>
      </x:c>
      <x:c r="E62" s="28" t="str">
        <x:v>UZ-1002</x:v>
      </x:c>
      <x:c r="F62" s="28" t="str">
        <x:v>Uroda i zdrowie</x:v>
      </x:c>
      <x:c r="G62" s="71" t="n">
        <x:v>-6</x:v>
      </x:c>
      <x:c r="H62" s="72" t="n">
        <x:v>1048.97</x:v>
      </x:c>
      <x:c r="I62" s="73" t="n">
        <x:v>0.1</x:v>
      </x:c>
      <x:c r="J62" s="28" t="str">
        <x:v>Anulowane</x:v>
      </x:c>
      <x:c r="K62" s="72"/>
      <x:c r="L62" s="28" t="str">
        <x:v>BRAK DATY WYSYŁKI</x:v>
      </x:c>
      <x:c r="M62" s="28" t="str">
        <x:v>OK / Niepoprawna ilość</x:v>
      </x:c>
    </x:row>
    <x:row r="63">
      <x:c r="A63" s="29" t="str">
        <x:v>ZAM/2025/000843</x:v>
      </x:c>
      <x:c r="B63" s="74" t="n">
        <x:v>46061</x:v>
      </x:c>
      <x:c r="C63" s="29" t="str">
        <x:v>Sklep online</x:v>
      </x:c>
      <x:c r="D63" s="29" t="str">
        <x:v>TOSTER DWUSZCZELINOWY</x:v>
      </x:c>
      <x:c r="E63" s="29" t="str">
        <x:v>DK-1003</x:v>
      </x:c>
      <x:c r="F63" s="29" t="str">
        <x:v>Dom i kuchnia</x:v>
      </x:c>
      <x:c r="G63" s="75" t="n">
        <x:v>2</x:v>
      </x:c>
      <x:c r="H63" s="76" t="n">
        <x:v>464.37</x:v>
      </x:c>
      <x:c r="I63" s="77" t="n">
        <x:v>0.1</x:v>
      </x:c>
      <x:c r="J63" s="29" t="str">
        <x:v>Zrealizowane</x:v>
      </x:c>
      <x:c r="K63" s="76" t="n">
        <x:v>835.866</x:v>
      </x:c>
      <x:c r="L63" s="29" t="str">
        <x:v>WYSYŁKA PRZED ZAMÓWIENIEM</x:v>
      </x:c>
      <x:c r="M63" s="29" t="str">
        <x:v>OK / OK</x:v>
      </x:c>
    </x:row>
    <x:row r="64">
      <x:c r="A64" s="28" t="str">
        <x:v>ZAM/2025/000116</x:v>
      </x:c>
      <x:c r="B64" s="70" t="n">
        <x:v>45772</x:v>
      </x:c>
      <x:c r="C64" s="28" t="str">
        <x:v>Telefon/B2B</x:v>
      </x:c>
      <x:c r="D64" s="28" t="str">
        <x:v>PAPIER A4 500 ARK.</x:v>
      </x:c>
      <x:c r="E64" s="28" t="str">
        <x:v>BI-1001</x:v>
      </x:c>
      <x:c r="F64" s="28" t="str">
        <x:v>Biuro</x:v>
      </x:c>
      <x:c r="G64" s="71" t="n">
        <x:v>0</x:v>
      </x:c>
      <x:c r="H64" s="72" t="n">
        <x:v>592.71</x:v>
      </x:c>
      <x:c r="I64" s="73" t="n">
        <x:v>0</x:v>
      </x:c>
      <x:c r="J64" s="28" t="str">
        <x:v>Zwrócone</x:v>
      </x:c>
      <x:c r="K64" s="72"/>
      <x:c r="L64" s="28" t="str">
        <x:v>OK</x:v>
      </x:c>
      <x:c r="M64" s="28" t="str">
        <x:v>OK / Niepoprawna ilość</x:v>
      </x:c>
    </x:row>
    <x:row r="65">
      <x:c r="A65" s="29" t="str">
        <x:v>ZAM/2025/001547</x:v>
      </x:c>
      <x:c r="B65" s="74" t="n">
        <x:v>45998</x:v>
      </x:c>
      <x:c r="C65" s="29" t="str">
        <x:v>Sklep online</x:v>
      </x:c>
      <x:c r="D65" s="29" t="str">
        <x:v>KARTA PAMIĘCI 128 GB</x:v>
      </x:c>
      <x:c r="E65" s="29" t="str">
        <x:v>EL-1014</x:v>
      </x:c>
      <x:c r="F65" s="29" t="str">
        <x:v>Elektronika</x:v>
      </x:c>
      <x:c r="G65" s="75"/>
      <x:c r="H65" s="76" t="n">
        <x:v>51.01</x:v>
      </x:c>
      <x:c r="I65" s="77" t="n">
        <x:v>0</x:v>
      </x:c>
      <x:c r="J65" s="29" t="str">
        <x:v>Zwrócone</x:v>
      </x:c>
      <x:c r="K65" s="76"/>
      <x:c r="L65" s="29" t="str">
        <x:v>OK</x:v>
      </x:c>
      <x:c r="M65" s="29" t="str">
        <x:v>OK / Brak podanej ilośći</x:v>
      </x:c>
    </x:row>
    <x:row r="66">
      <x:c r="A66" s="28" t="str">
        <x:v>ZAM/2025/000814</x:v>
      </x:c>
      <x:c r="B66" s="70" t="n">
        <x:v>45917</x:v>
      </x:c>
      <x:c r="C66" s="28" t="str">
        <x:v>Sklep online</x:v>
      </x:c>
      <x:c r="D66" s="28" t="str">
        <x:v>ZSZYWACZ METALOWY</x:v>
      </x:c>
      <x:c r="E66" s="28" t="str">
        <x:v>BI-1017</x:v>
      </x:c>
      <x:c r="F66" s="28" t="str">
        <x:v>Biuro</x:v>
      </x:c>
      <x:c r="G66" s="71" t="n">
        <x:v>4</x:v>
      </x:c>
      <x:c r="H66" s="72" t="n">
        <x:v>90.56</x:v>
      </x:c>
      <x:c r="I66" s="73" t="n">
        <x:v>0.1</x:v>
      </x:c>
      <x:c r="J66" s="28" t="str">
        <x:v>Zrealizowane</x:v>
      </x:c>
      <x:c r="K66" s="72" t="n">
        <x:v>326.016</x:v>
      </x:c>
      <x:c r="L66" s="28" t="str">
        <x:v>WYSYŁKA PRZED ZAMÓWIENIEM</x:v>
      </x:c>
      <x:c r="M66" s="28" t="str">
        <x:v>OK / OK</x:v>
      </x:c>
    </x:row>
    <x:row r="67">
      <x:c r="A67" s="29" t="str">
        <x:v>ZAM/2025/001202</x:v>
      </x:c>
      <x:c r="B67" s="74" t="n">
        <x:v>45992</x:v>
      </x:c>
      <x:c r="C67" s="29" t="str">
        <x:v>Sklep online</x:v>
      </x:c>
      <x:c r="D67" s="29" t="str">
        <x:v>KLAWIATURA MECHANICZNA</x:v>
      </x:c>
      <x:c r="E67" s="29" t="str">
        <x:v>EL-1003</x:v>
      </x:c>
      <x:c r="F67" s="29" t="str">
        <x:v>Elektronika</x:v>
      </x:c>
      <x:c r="G67" s="75" t="n">
        <x:v>-1</x:v>
      </x:c>
      <x:c r="H67" s="76" t="n">
        <x:v>321.01</x:v>
      </x:c>
      <x:c r="I67" s="77" t="n">
        <x:v>0.05</x:v>
      </x:c>
      <x:c r="J67" s="29" t="str">
        <x:v>Zrealizowane</x:v>
      </x:c>
      <x:c r="K67" s="76"/>
      <x:c r="L67" s="29" t="str">
        <x:v>OK</x:v>
      </x:c>
      <x:c r="M67" s="29" t="str">
        <x:v>OK / Niepoprawna ilość</x:v>
      </x:c>
    </x:row>
    <x:row r="68">
      <x:c r="A68" s="28" t="str">
        <x:v>ZAM/2025/000152</x:v>
      </x:c>
      <x:c r="B68" s="70" t="n">
        <x:v>45842</x:v>
      </x:c>
      <x:c r="C68" s="28" t="str">
        <x:v>Sklep online</x:v>
      </x:c>
      <x:c r="D68" s="28" t="str">
        <x:v>ŚPIWÓR TRZYSEZONOWY</x:v>
      </x:c>
      <x:c r="E68" s="28" t="str">
        <x:v>ST-1007</x:v>
      </x:c>
      <x:c r="F68" s="28" t="str">
        <x:v>Sport i turystyka</x:v>
      </x:c>
      <x:c r="G68" s="71" t="n">
        <x:v>0</x:v>
      </x:c>
      <x:c r="H68" s="72" t="n">
        <x:v>655.94</x:v>
      </x:c>
      <x:c r="I68" s="73" t="n">
        <x:v>0.05</x:v>
      </x:c>
      <x:c r="J68" s="28" t="str">
        <x:v>Zrealizowane</x:v>
      </x:c>
      <x:c r="K68" s="72"/>
      <x:c r="L68" s="28" t="str">
        <x:v>OK</x:v>
      </x:c>
      <x:c r="M68" s="28" t="str">
        <x:v>OK / Niepoprawna ilość</x:v>
      </x:c>
    </x:row>
    <x:row r="69">
      <x:c r="A69" s="29" t="str">
        <x:v>ZAM/2025/001545</x:v>
      </x:c>
      <x:c r="B69" s="74" t="n">
        <x:v>45688</x:v>
      </x:c>
      <x:c r="C69" s="29" t="str">
        <x:v>Marketplace</x:v>
      </x:c>
      <x:c r="D69" s="29" t="str">
        <x:v>DZBANEK FILTRUJĄCY</x:v>
      </x:c>
      <x:c r="E69" s="29" t="str">
        <x:v>DK-1011</x:v>
      </x:c>
      <x:c r="F69" s="29" t="str">
        <x:v>Dom i kuchnia</x:v>
      </x:c>
      <x:c r="G69" s="75"/>
      <x:c r="H69" s="76" t="n">
        <x:v>196.28</x:v>
      </x:c>
      <x:c r="I69" s="77" t="n">
        <x:v>0.05</x:v>
      </x:c>
      <x:c r="J69" s="29" t="str">
        <x:v>Zrealizowane</x:v>
      </x:c>
      <x:c r="K69" s="76"/>
      <x:c r="L69" s="29" t="str">
        <x:v>OK</x:v>
      </x:c>
      <x:c r="M69" s="29" t="str">
        <x:v>OK / Brak podanej ilośći</x:v>
      </x:c>
    </x:row>
    <x:row r="70">
      <x:c r="A70" s="28" t="str">
        <x:v>ZAM/2025/000295</x:v>
      </x:c>
      <x:c r="B70" s="70" t="n">
        <x:v>45835</x:v>
      </x:c>
      <x:c r="C70" s="28" t="str">
        <x:v>Sklep online</x:v>
      </x:c>
      <x:c r="D70" s="28" t="str">
        <x:v>GARNEK 5 L</x:v>
      </x:c>
      <x:c r="E70" s="28" t="str">
        <x:v>DK-1006</x:v>
      </x:c>
      <x:c r="F70" s="28" t="str">
        <x:v>Dom i kuchnia</x:v>
      </x:c>
      <x:c r="G70" s="71" t="n">
        <x:v>0</x:v>
      </x:c>
      <x:c r="H70" s="72" t="n">
        <x:v>865.71</x:v>
      </x:c>
      <x:c r="I70" s="73" t="n">
        <x:v>0</x:v>
      </x:c>
      <x:c r="J70" s="28" t="str">
        <x:v>Zrealizowane</x:v>
      </x:c>
      <x:c r="K70" s="72"/>
      <x:c r="L70" s="28" t="str">
        <x:v>OK</x:v>
      </x:c>
      <x:c r="M70" s="28" t="str">
        <x:v>OK / Niepoprawna ilość</x:v>
      </x:c>
    </x:row>
    <x:row r="71">
      <x:c r="A71" s="29" t="str">
        <x:v>ZAM/2025/001190</x:v>
      </x:c>
      <x:c r="B71" s="74" t="n">
        <x:v>45942</x:v>
      </x:c>
      <x:c r="C71" s="29" t="str">
        <x:v>Sklep online</x:v>
      </x:c>
      <x:c r="D71" s="29" t="str">
        <x:v>DZBANEK FILTRUJĄCY</x:v>
      </x:c>
      <x:c r="E71" s="29" t="str">
        <x:v>DK-1011</x:v>
      </x:c>
      <x:c r="F71" s="29" t="str">
        <x:v>Dom i kuchnia</x:v>
      </x:c>
      <x:c r="G71" s="75"/>
      <x:c r="H71" s="76" t="n">
        <x:v>172.44</x:v>
      </x:c>
      <x:c r="I71" s="77" t="n">
        <x:v>0.1</x:v>
      </x:c>
      <x:c r="J71" s="29" t="str">
        <x:v>Zrealizowane</x:v>
      </x:c>
      <x:c r="K71" s="76"/>
      <x:c r="L71" s="29" t="str">
        <x:v>OK</x:v>
      </x:c>
      <x:c r="M71" s="29" t="str">
        <x:v>OK / Brak podanej ilośći</x:v>
      </x:c>
    </x:row>
    <x:row r="72">
      <x:c r="A72" s="28" t="str">
        <x:v>ZAM/2025/001140</x:v>
      </x:c>
      <x:c r="B72" s="70" t="n">
        <x:v>45746</x:v>
      </x:c>
      <x:c r="C72" s="28" t="str">
        <x:v>Sklep stacjonarny</x:v>
      </x:c>
      <x:c r="D72" s="28" t="str">
        <x:v>PLECAK TURYSTYCZNY 30 L</x:v>
      </x:c>
      <x:c r="E72" s="28" t="str">
        <x:v>ST-1005</x:v>
      </x:c>
      <x:c r="F72" s="28" t="str">
        <x:v>Sport i turystyka</x:v>
      </x:c>
      <x:c r="G72" s="71" t="n">
        <x:v>1</x:v>
      </x:c>
      <x:c r="H72" s="72" t="n">
        <x:v>351.43</x:v>
      </x:c>
      <x:c r="I72" s="73" t="n">
        <x:v>0.25</x:v>
      </x:c>
      <x:c r="J72" s="28" t="str">
        <x:v>Zrealizowane</x:v>
      </x:c>
      <x:c r="K72" s="72" t="n">
        <x:v>263.5725</x:v>
      </x:c>
      <x:c r="L72" s="28" t="str">
        <x:v>WYSYŁKA PRZED ZAMÓWIENIEM</x:v>
      </x:c>
      <x:c r="M72" s="28" t="str">
        <x:v>OK / OK</x:v>
      </x:c>
    </x:row>
    <x:row r="73">
      <x:c r="A73" s="29" t="str">
        <x:v>ZAM/2025/000044</x:v>
      </x:c>
      <x:c r="B73" s="74" t="n">
        <x:v>45776</x:v>
      </x:c>
      <x:c r="C73" s="29" t="str">
        <x:v>Sklep online</x:v>
      </x:c>
      <x:c r="D73" s="29" t="str">
        <x:v>TOSTER DWUSZCZELINOWY</x:v>
      </x:c>
      <x:c r="E73" s="29" t="str">
        <x:v>DK-1003</x:v>
      </x:c>
      <x:c r="F73" s="29" t="str">
        <x:v>Dom i kuchnia</x:v>
      </x:c>
      <x:c r="G73" s="75"/>
      <x:c r="H73" s="76" t="n">
        <x:v>492.05</x:v>
      </x:c>
      <x:c r="I73" s="77" t="n">
        <x:v>0.05</x:v>
      </x:c>
      <x:c r="J73" s="29" t="str">
        <x:v>Zrealizowane</x:v>
      </x:c>
      <x:c r="K73" s="76"/>
      <x:c r="L73" s="29" t="str">
        <x:v>OK</x:v>
      </x:c>
      <x:c r="M73" s="29" t="str">
        <x:v>OK / Brak podanej ilośći</x:v>
      </x:c>
    </x:row>
    <x:row r="74">
      <x:c r="A74" s="28" t="str">
        <x:v>ZAM/2025/001524</x:v>
      </x:c>
      <x:c r="B74" s="70" t="n">
        <x:v>46298</x:v>
      </x:c>
      <x:c r="C74" s="28" t="str">
        <x:v>Marketplace</x:v>
      </x:c>
      <x:c r="D74" s="28" t="str">
        <x:v>GOLARKA ELEKTRYCZNA</x:v>
      </x:c>
      <x:c r="E74" s="28" t="str">
        <x:v>UZ-1013</x:v>
      </x:c>
      <x:c r="F74" s="28" t="str">
        <x:v>Uroda i zdrowie</x:v>
      </x:c>
      <x:c r="G74" s="71" t="n">
        <x:v>1</x:v>
      </x:c>
      <x:c r="H74" s="72" t="n">
        <x:v>295.48</x:v>
      </x:c>
      <x:c r="I74" s="73" t="n">
        <x:v>0</x:v>
      </x:c>
      <x:c r="J74" s="28" t="str">
        <x:v>Zrealizowane</x:v>
      </x:c>
      <x:c r="K74" s="72" t="n">
        <x:v>295.48</x:v>
      </x:c>
      <x:c r="L74" s="28" t="str">
        <x:v>WYSYŁKA PRZED ZAMÓWIENIEM</x:v>
      </x:c>
      <x:c r="M74" s="28" t="str">
        <x:v>OK / OK</x:v>
      </x:c>
    </x:row>
    <x:row r="75">
      <x:c r="A75" s="29" t="str">
        <x:v>ZAM/2025/001001</x:v>
      </x:c>
      <x:c r="B75" s="74" t="n">
        <x:v>45882</x:v>
      </x:c>
      <x:c r="C75" s="29" t="str">
        <x:v>Sklep online</x:v>
      </x:c>
      <x:c r="D75" s="29" t="str">
        <x:v>RĘKAWICZKI TRENINGOWE</x:v>
      </x:c>
      <x:c r="E75" s="29" t="str">
        <x:v>ST-1014</x:v>
      </x:c>
      <x:c r="F75" s="29" t="str">
        <x:v>Sport i turystyka</x:v>
      </x:c>
      <x:c r="G75" s="75" t="n">
        <x:v>-1</x:v>
      </x:c>
      <x:c r="H75" s="76" t="n">
        <x:v>1217.52</x:v>
      </x:c>
      <x:c r="I75" s="77" t="n">
        <x:v>0</x:v>
      </x:c>
      <x:c r="J75" s="29" t="str">
        <x:v>Wysłane</x:v>
      </x:c>
      <x:c r="K75" s="76"/>
      <x:c r="L75" s="29" t="str">
        <x:v>OK</x:v>
      </x:c>
      <x:c r="M75" s="29" t="str">
        <x:v>OK / Niepoprawna ilość</x:v>
      </x:c>
    </x:row>
    <x:row r="76">
      <x:c r="A76" s="28" t="str">
        <x:v>ZAM/2025/001341</x:v>
      </x:c>
      <x:c r="B76" s="70" t="n">
        <x:v>45678</x:v>
      </x:c>
      <x:c r="C76" s="28" t="str">
        <x:v>Telefon/B2B</x:v>
      </x:c>
      <x:c r="D76" s="28" t="str">
        <x:v>BIDON SPORTOWY</x:v>
      </x:c>
      <x:c r="E76" s="28" t="str">
        <x:v>ST-1009</x:v>
      </x:c>
      <x:c r="F76" s="28" t="str">
        <x:v>Sport i turystyka</x:v>
      </x:c>
      <x:c r="G76" s="71"/>
      <x:c r="H76" s="72" t="n">
        <x:v>108.86</x:v>
      </x:c>
      <x:c r="I76" s="73" t="n">
        <x:v>0</x:v>
      </x:c>
      <x:c r="J76" s="28" t="str">
        <x:v>Zrealizowane</x:v>
      </x:c>
      <x:c r="K76" s="72"/>
      <x:c r="L76" s="28" t="str">
        <x:v>OK</x:v>
      </x:c>
      <x:c r="M76" s="28" t="str">
        <x:v>OK / Brak podanej ilośći</x:v>
      </x:c>
    </x:row>
    <x:row r="77">
      <x:c r="A77" s="29" t="str">
        <x:v>ZAM/2025/001421</x:v>
      </x:c>
      <x:c r="B77" s="74" t="n">
        <x:v>45716</x:v>
      </x:c>
      <x:c r="C77" s="29" t="str">
        <x:v>Sklep online</x:v>
      </x:c>
      <x:c r="D77" s="29" t="str">
        <x:v>LAMPKA BIURKOWA LED</x:v>
      </x:c>
      <x:c r="E77" s="29" t="str">
        <x:v>EL-1018</x:v>
      </x:c>
      <x:c r="F77" s="29" t="str">
        <x:v>Elektronika</x:v>
      </x:c>
      <x:c r="G77" s="75" t="n">
        <x:v>-1</x:v>
      </x:c>
      <x:c r="H77" s="76" t="n">
        <x:v>38.84</x:v>
      </x:c>
      <x:c r="I77" s="77" t="n">
        <x:v>0.05</x:v>
      </x:c>
      <x:c r="J77" s="29" t="str">
        <x:v>Zrealizowane</x:v>
      </x:c>
      <x:c r="K77" s="76"/>
      <x:c r="L77" s="29" t="str">
        <x:v>OK</x:v>
      </x:c>
      <x:c r="M77" s="29" t="str">
        <x:v>OK / Niepoprawna ilość</x:v>
      </x:c>
    </x:row>
    <x:row r="78">
      <x:c r="A78" s="28" t="str">
        <x:v>ZAM/2025/000698</x:v>
      </x:c>
      <x:c r="B78" s="70" t="n">
        <x:v>45854</x:v>
      </x:c>
      <x:c r="C78" s="28" t="str">
        <x:v>Sklep online</x:v>
      </x:c>
      <x:c r="D78" s="28" t="str">
        <x:v>ŚPIWÓR TRZYSEZONOWY</x:v>
      </x:c>
      <x:c r="E78" s="28" t="str">
        <x:v>ST-1007</x:v>
      </x:c>
      <x:c r="F78" s="28" t="str">
        <x:v>Sport i turystyka</x:v>
      </x:c>
      <x:c r="G78" s="71" t="n">
        <x:v>1</x:v>
      </x:c>
      <x:c r="H78" s="72"/>
      <x:c r="I78" s="73" t="n">
        <x:v>0</x:v>
      </x:c>
      <x:c r="J78" s="28" t="str">
        <x:v>Zrealizowane</x:v>
      </x:c>
      <x:c r="K78" s="72"/>
      <x:c r="L78" s="28" t="str">
        <x:v>OK</x:v>
      </x:c>
      <x:c r="M78" s="28" t="str">
        <x:v>BRAK LUB BŁĄD CENY / OK</x:v>
      </x:c>
    </x:row>
    <x:row r="79">
      <x:c r="A79" s="29" t="str">
        <x:v>ZAM/2025/001225</x:v>
      </x:c>
      <x:c r="B79" s="74" t="n">
        <x:v>45912</x:v>
      </x:c>
      <x:c r="C79" s="29" t="str">
        <x:v>Marketplace</x:v>
      </x:c>
      <x:c r="D79" s="29" t="str">
        <x:v>SKAKANKA TRENINGOWA</x:v>
      </x:c>
      <x:c r="E79" s="29" t="str">
        <x:v>ST-1011</x:v>
      </x:c>
      <x:c r="F79" s="29" t="str">
        <x:v>Sport i turystyka</x:v>
      </x:c>
      <x:c r="G79" s="75" t="n">
        <x:v>-1</x:v>
      </x:c>
      <x:c r="H79" s="76" t="n">
        <x:v>633.07</x:v>
      </x:c>
      <x:c r="I79" s="77" t="n">
        <x:v>0.2</x:v>
      </x:c>
      <x:c r="J79" s="29" t="str">
        <x:v>Anulowane</x:v>
      </x:c>
      <x:c r="K79" s="76"/>
      <x:c r="L79" s="29" t="str">
        <x:v>BRAK DATY WYSYŁKI</x:v>
      </x:c>
      <x:c r="M79" s="29" t="str">
        <x:v>OK / Niepoprawna ilość</x:v>
      </x:c>
    </x:row>
    <x:row r="80">
      <x:c r="A80" s="28" t="str">
        <x:v>ZAM/2025/000243</x:v>
      </x:c>
      <x:c r="B80" s="70" t="n">
        <x:v>45780</x:v>
      </x:c>
      <x:c r="C80" s="28" t="str">
        <x:v>Marketplace</x:v>
      </x:c>
      <x:c r="D80" s="28" t="str">
        <x:v>DŁUGOPISY 10 SZT.</x:v>
      </x:c>
      <x:c r="E80" s="28" t="str">
        <x:v>BI-1002</x:v>
      </x:c>
      <x:c r="F80" s="28" t="str">
        <x:v>Biuro</x:v>
      </x:c>
      <x:c r="G80" s="71" t="n">
        <x:v>-1</x:v>
      </x:c>
      <x:c r="H80" s="72" t="n">
        <x:v>832.53</x:v>
      </x:c>
      <x:c r="I80" s="73" t="n">
        <x:v>0</x:v>
      </x:c>
      <x:c r="J80" s="28" t="str">
        <x:v>W realizacji</x:v>
      </x:c>
      <x:c r="K80" s="72"/>
      <x:c r="L80" s="28" t="str">
        <x:v>BRAK DATY WYSYŁKI</x:v>
      </x:c>
      <x:c r="M80" s="28" t="str">
        <x:v>OK / Niepoprawna ilość</x:v>
      </x:c>
    </x:row>
    <x:row r="81">
      <x:c r="A81" s="29" t="str">
        <x:v>ZAM/2025/000965</x:v>
      </x:c>
      <x:c r="B81" s="74" t="n">
        <x:v>46022</x:v>
      </x:c>
      <x:c r="C81" s="29" t="str">
        <x:v>Sklep online</x:v>
      </x:c>
      <x:c r="D81" s="29" t="str">
        <x:v>PODUSZKA ELEKTRYCZNA</x:v>
      </x:c>
      <x:c r="E81" s="29" t="str">
        <x:v>UZ-1015</x:v>
      </x:c>
      <x:c r="F81" s="29" t="str">
        <x:v>Uroda i zdrowie</x:v>
      </x:c>
      <x:c r="G81" s="75" t="n">
        <x:v>5</x:v>
      </x:c>
      <x:c r="H81" s="76" t="n">
        <x:v>1530.11</x:v>
      </x:c>
      <x:c r="I81" s="77" t="n">
        <x:v>0</x:v>
      </x:c>
      <x:c r="J81" s="29" t="str">
        <x:v>Zrealizowane</x:v>
      </x:c>
      <x:c r="K81" s="76" t="n">
        <x:v>7650.55</x:v>
      </x:c>
      <x:c r="L81" s="29" t="str">
        <x:v>WYSYŁKA PRZED ZAMÓWIENIEM</x:v>
      </x:c>
      <x:c r="M81" s="29" t="str">
        <x:v>OK / OK</x:v>
      </x:c>
    </x:row>
    <x:row r="82">
      <x:c r="A82" s="28" t="str">
        <x:v>ZAM/2025/000085</x:v>
      </x:c>
      <x:c r="B82" s="70" t="n">
        <x:v>45893</x:v>
      </x:c>
      <x:c r="C82" s="28" t="str">
        <x:v>Marketplace</x:v>
      </x:c>
      <x:c r="D82" s="28" t="str">
        <x:v>ŚPIWÓR TRZYSEZONOWY</x:v>
      </x:c>
      <x:c r="E82" s="28" t="str">
        <x:v>ST-1007</x:v>
      </x:c>
      <x:c r="F82" s="28" t="str">
        <x:v>Sport i turystyka</x:v>
      </x:c>
      <x:c r="G82" s="71" t="n">
        <x:v>2</x:v>
      </x:c>
      <x:c r="H82" s="72" t="n">
        <x:v>701.7</x:v>
      </x:c>
      <x:c r="I82" s="73" t="n">
        <x:v>0.1</x:v>
      </x:c>
      <x:c r="J82" s="28" t="str">
        <x:v>Zrealizowane</x:v>
      </x:c>
      <x:c r="K82" s="72" t="n">
        <x:v>1263.06</x:v>
      </x:c>
      <x:c r="L82" s="28" t="str">
        <x:v>WYSYŁKA PRZED ZAMÓWIENIEM</x:v>
      </x:c>
      <x:c r="M82" s="28" t="str">
        <x:v>OK / OK</x:v>
      </x:c>
    </x:row>
    <x:row r="83">
      <x:c r="A83" s="29" t="str">
        <x:v>ZAM/2025/000302</x:v>
      </x:c>
      <x:c r="B83" s="74" t="n">
        <x:v>45765</x:v>
      </x:c>
      <x:c r="C83" s="29" t="str">
        <x:v>Marketplace</x:v>
      </x:c>
      <x:c r="D83" s="29" t="str">
        <x:v>FOLIA DO LAMINOWANIA</x:v>
      </x:c>
      <x:c r="E83" s="29" t="str">
        <x:v>BI-1009</x:v>
      </x:c>
      <x:c r="F83" s="29" t="str">
        <x:v>Biuro</x:v>
      </x:c>
      <x:c r="G83" s="75" t="n">
        <x:v>1</x:v>
      </x:c>
      <x:c r="H83" s="76"/>
      <x:c r="I83" s="77" t="n">
        <x:v>0.15</x:v>
      </x:c>
      <x:c r="J83" s="29" t="str">
        <x:v>Zrealizowane</x:v>
      </x:c>
      <x:c r="K83" s="76"/>
      <x:c r="L83" s="29" t="str">
        <x:v>OK</x:v>
      </x:c>
      <x:c r="M83" s="29" t="str">
        <x:v>BRAK LUB BŁĄD CENY / OK</x:v>
      </x:c>
    </x:row>
    <x:row r="84">
      <x:c r="A84" s="28" t="str">
        <x:v>ZAM/2025/000851</x:v>
      </x:c>
      <x:c r="B84" s="70" t="n">
        <x:v>45662</x:v>
      </x:c>
      <x:c r="C84" s="28" t="str">
        <x:v>Telefon/B2B</x:v>
      </x:c>
      <x:c r="D84" s="28" t="str">
        <x:v>ZSZYWACZ METALOWY</x:v>
      </x:c>
      <x:c r="E84" s="28" t="str">
        <x:v>BI-1017</x:v>
      </x:c>
      <x:c r="F84" s="28" t="str">
        <x:v>Biuro</x:v>
      </x:c>
      <x:c r="G84" s="71" t="n">
        <x:v>15</x:v>
      </x:c>
      <x:c r="H84" s="72" t="n">
        <x:v>93.72</x:v>
      </x:c>
      <x:c r="I84" s="73" t="n">
        <x:v>0</x:v>
      </x:c>
      <x:c r="J84" s="28" t="str">
        <x:v>Zrealizowane</x:v>
      </x:c>
      <x:c r="K84" s="72" t="n">
        <x:v>1405.8</x:v>
      </x:c>
      <x:c r="L84" s="28" t="str">
        <x:v>WYSYŁKA PRZED ZAMÓWIENIEM</x:v>
      </x:c>
      <x:c r="M84" s="28" t="str">
        <x:v>OK / OK</x:v>
      </x:c>
    </x:row>
    <x:row r="85">
      <x:c r="A85" s="29" t="str">
        <x:v>ZAM/2025/001117</x:v>
      </x:c>
      <x:c r="B85" s="74" t="n">
        <x:v>45807</x:v>
      </x:c>
      <x:c r="C85" s="29" t="str">
        <x:v>Sklep online</x:v>
      </x:c>
      <x:c r="D85" s="29" t="str">
        <x:v>PODSTAWKA POD LAPTOP</x:v>
      </x:c>
      <x:c r="E85" s="29" t="str">
        <x:v>EL-1020</x:v>
      </x:c>
      <x:c r="F85" s="29" t="str">
        <x:v>Elektronika</x:v>
      </x:c>
      <x:c r="G85" s="75"/>
      <x:c r="H85" s="76" t="n">
        <x:v>139.85</x:v>
      </x:c>
      <x:c r="I85" s="77" t="n">
        <x:v>0</x:v>
      </x:c>
      <x:c r="J85" s="29" t="str">
        <x:v>Zrealizowane</x:v>
      </x:c>
      <x:c r="K85" s="76"/>
      <x:c r="L85" s="29" t="str">
        <x:v>OK</x:v>
      </x:c>
      <x:c r="M85" s="29" t="str">
        <x:v>OK / Brak podanej ilośći</x:v>
      </x:c>
    </x:row>
    <x:row r="86">
      <x:c r="A86" s="28" t="str">
        <x:v>ZAM/2025/000650</x:v>
      </x:c>
      <x:c r="B86" s="70"/>
      <x:c r="C86" s="28" t="str">
        <x:v>Sklep online</x:v>
      </x:c>
      <x:c r="D86" s="28" t="str">
        <x:v>SUSZARKA DO WŁOSÓW</x:v>
      </x:c>
      <x:c r="E86" s="28" t="str">
        <x:v>UZ-1003</x:v>
      </x:c>
      <x:c r="F86" s="28" t="str">
        <x:v>Uroda i zdrowie</x:v>
      </x:c>
      <x:c r="G86" s="71" t="n">
        <x:v>1</x:v>
      </x:c>
      <x:c r="H86" s="72" t="n">
        <x:v>132.48</x:v>
      </x:c>
      <x:c r="I86" s="73" t="n">
        <x:v>0.05</x:v>
      </x:c>
      <x:c r="J86" s="28" t="str">
        <x:v>Wysłane</x:v>
      </x:c>
      <x:c r="K86" s="72" t="n">
        <x:v>125.856</x:v>
      </x:c>
      <x:c r="L86" s="28" t="str">
        <x:v>BRAK DATY ZAMÓWIENIA</x:v>
      </x:c>
      <x:c r="M86" s="28" t="str">
        <x:v>OK / OK</x:v>
      </x:c>
    </x:row>
    <x:row r="87">
      <x:c r="A87" s="29" t="str">
        <x:v>ZAM/2025/001451</x:v>
      </x:c>
      <x:c r="B87" s="74" t="n">
        <x:v>45859</x:v>
      </x:c>
      <x:c r="C87" s="29" t="str">
        <x:v>Telefon/B2B</x:v>
      </x:c>
      <x:c r="D87" s="29" t="str">
        <x:v>BIDON SPORTOWY</x:v>
      </x:c>
      <x:c r="E87" s="29" t="str">
        <x:v>ST-1009</x:v>
      </x:c>
      <x:c r="F87" s="29" t="str">
        <x:v>Sport i turystyka</x:v>
      </x:c>
      <x:c r="G87" s="75" t="n">
        <x:v>0</x:v>
      </x:c>
      <x:c r="H87" s="76" t="n">
        <x:v>102.27</x:v>
      </x:c>
      <x:c r="I87" s="77" t="n">
        <x:v>0</x:v>
      </x:c>
      <x:c r="J87" s="29" t="str">
        <x:v>Anulowane</x:v>
      </x:c>
      <x:c r="K87" s="76"/>
      <x:c r="L87" s="29" t="str">
        <x:v>BRAK DATY WYSYŁKI</x:v>
      </x:c>
      <x:c r="M87" s="29" t="str">
        <x:v>OK / Niepoprawna ilość</x:v>
      </x:c>
    </x:row>
    <x:row r="88">
      <x:c r="A88" s="28" t="str">
        <x:v>ZAM/2025/000345</x:v>
      </x:c>
      <x:c r="B88" s="70" t="n">
        <x:v>45874</x:v>
      </x:c>
      <x:c r="C88" s="28" t="str">
        <x:v>Telefon/B2B</x:v>
      </x:c>
      <x:c r="D88" s="28" t="str">
        <x:v>PIŁKA FITNESS</x:v>
      </x:c>
      <x:c r="E88" s="28" t="str">
        <x:v>ST-1012</x:v>
      </x:c>
      <x:c r="F88" s="28" t="str">
        <x:v>Sport i turystyka</x:v>
      </x:c>
      <x:c r="G88" s="71"/>
      <x:c r="H88" s="72" t="n">
        <x:v>1235.7</x:v>
      </x:c>
      <x:c r="I88" s="73" t="n">
        <x:v>0.15</x:v>
      </x:c>
      <x:c r="J88" s="28" t="str">
        <x:v>Zrealizowane</x:v>
      </x:c>
      <x:c r="K88" s="72"/>
      <x:c r="L88" s="28" t="str">
        <x:v>OK</x:v>
      </x:c>
      <x:c r="M88" s="28" t="str">
        <x:v>OK / Brak podanej ilośći</x:v>
      </x:c>
    </x:row>
    <x:row r="89">
      <x:c r="A89" s="29" t="str">
        <x:v>ZAM/2025/001196</x:v>
      </x:c>
      <x:c r="B89" s="74" t="n">
        <x:v>45973</x:v>
      </x:c>
      <x:c r="C89" s="29" t="str">
        <x:v>Marketplace</x:v>
      </x:c>
      <x:c r="D89" s="29" t="str">
        <x:v>BUTELKA TERMICZNA</x:v>
      </x:c>
      <x:c r="E89" s="29" t="str">
        <x:v>DK-1020</x:v>
      </x:c>
      <x:c r="F89" s="29" t="str">
        <x:v>Dom i kuchnia</x:v>
      </x:c>
      <x:c r="G89" s="75" t="n">
        <x:v>2</x:v>
      </x:c>
      <x:c r="H89" s="76" t="n">
        <x:v>649.95</x:v>
      </x:c>
      <x:c r="I89" s="77" t="n">
        <x:v>0.05</x:v>
      </x:c>
      <x:c r="J89" s="29" t="str">
        <x:v>Zrealizowane</x:v>
      </x:c>
      <x:c r="K89" s="76" t="n">
        <x:v>1234.905</x:v>
      </x:c>
      <x:c r="L89" s="29" t="str">
        <x:v>WYSYŁKA PRZED ZAMÓWIENIEM</x:v>
      </x:c>
      <x:c r="M89" s="29" t="str">
        <x:v>OK / OK</x:v>
      </x:c>
    </x:row>
    <x:row r="90">
      <x:c r="A90" s="28" t="str">
        <x:v>ZAM/2025/001107</x:v>
      </x:c>
      <x:c r="B90" s="70" t="n">
        <x:v>45982</x:v>
      </x:c>
      <x:c r="C90" s="28" t="str">
        <x:v>Sklep stacjonarny</x:v>
      </x:c>
      <x:c r="D90" s="28" t="str">
        <x:v>HUB USB-C 7W1</x:v>
      </x:c>
      <x:c r="E90" s="28" t="str">
        <x:v>EL-1009</x:v>
      </x:c>
      <x:c r="F90" s="28" t="str">
        <x:v>Elektronika</x:v>
      </x:c>
      <x:c r="G90" s="71" t="n">
        <x:v>0</x:v>
      </x:c>
      <x:c r="H90" s="72" t="n">
        <x:v>568.86</x:v>
      </x:c>
      <x:c r="I90" s="73" t="n">
        <x:v>0</x:v>
      </x:c>
      <x:c r="J90" s="28" t="str">
        <x:v>W realizacji</x:v>
      </x:c>
      <x:c r="K90" s="72"/>
      <x:c r="L90" s="28" t="str">
        <x:v>OK</x:v>
      </x:c>
      <x:c r="M90" s="28" t="str">
        <x:v>OK / Niepoprawna ilość</x:v>
      </x:c>
    </x:row>
    <x:row r="91">
      <x:c r="A91" s="29" t="str">
        <x:v>ZAM/2025/000352</x:v>
      </x:c>
      <x:c r="B91" s="74"/>
      <x:c r="C91" s="29" t="str">
        <x:v>Sklep online</x:v>
      </x:c>
      <x:c r="D91" s="29" t="str">
        <x:v>ORGANIZER KOSMETYCZNY</x:v>
      </x:c>
      <x:c r="E91" s="29" t="str">
        <x:v>UZ-1011</x:v>
      </x:c>
      <x:c r="F91" s="29" t="str">
        <x:v>Uroda i zdrowie</x:v>
      </x:c>
      <x:c r="G91" s="75" t="n">
        <x:v>1</x:v>
      </x:c>
      <x:c r="H91" s="76" t="n">
        <x:v>1023.16</x:v>
      </x:c>
      <x:c r="I91" s="77" t="n">
        <x:v>0.05</x:v>
      </x:c>
      <x:c r="J91" s="29" t="str">
        <x:v>Zrealizowane</x:v>
      </x:c>
      <x:c r="K91" s="76" t="n">
        <x:v>972.002</x:v>
      </x:c>
      <x:c r="L91" s="29" t="str">
        <x:v>BRAK DATY ZAMÓWIENIA</x:v>
      </x:c>
      <x:c r="M91" s="29" t="str">
        <x:v>OK / OK</x:v>
      </x:c>
    </x:row>
    <x:row r="92">
      <x:c r="A92" s="28" t="str">
        <x:v>ZAM/2025/001261</x:v>
      </x:c>
      <x:c r="B92" s="70" t="n">
        <x:v>45905</x:v>
      </x:c>
      <x:c r="C92" s="28" t="str">
        <x:v>Sklep online</x:v>
      </x:c>
      <x:c r="D92" s="28" t="str">
        <x:v>MOP OBROTOWY</x:v>
      </x:c>
      <x:c r="E92" s="28" t="str">
        <x:v>DK-1012</x:v>
      </x:c>
      <x:c r="F92" s="28" t="str">
        <x:v>Dom i kuchnia</x:v>
      </x:c>
      <x:c r="G92" s="71" t="n">
        <x:v>0</x:v>
      </x:c>
      <x:c r="H92" s="72" t="n">
        <x:v>481.72</x:v>
      </x:c>
      <x:c r="I92" s="73" t="n">
        <x:v>0.2</x:v>
      </x:c>
      <x:c r="J92" s="28" t="str">
        <x:v>Zrealizowane</x:v>
      </x:c>
      <x:c r="K92" s="72"/>
      <x:c r="L92" s="28" t="str">
        <x:v>OK</x:v>
      </x:c>
      <x:c r="M92" s="28" t="str">
        <x:v>OK / Niepoprawna ilość</x:v>
      </x:c>
    </x:row>
    <x:row r="93">
      <x:c r="A93" s="29" t="str">
        <x:v>ZAM/2025/000211</x:v>
      </x:c>
      <x:c r="B93" s="74" t="n">
        <x:v>45850</x:v>
      </x:c>
      <x:c r="C93" s="29" t="str">
        <x:v>Sklep online</x:v>
      </x:c>
      <x:c r="D93" s="29" t="str">
        <x:v>ZSZYWACZ METALOWY</x:v>
      </x:c>
      <x:c r="E93" s="29" t="str">
        <x:v>BI-1017</x:v>
      </x:c>
      <x:c r="F93" s="29" t="str">
        <x:v>Biuro</x:v>
      </x:c>
      <x:c r="G93" s="75" t="n">
        <x:v>1</x:v>
      </x:c>
      <x:c r="H93" s="76" t="n">
        <x:v>101.59</x:v>
      </x:c>
      <x:c r="I93" s="77" t="n">
        <x:v>0.15</x:v>
      </x:c>
      <x:c r="J93" s="29" t="str">
        <x:v>Wysłane</x:v>
      </x:c>
      <x:c r="K93" s="76" t="n">
        <x:v>86.3515</x:v>
      </x:c>
      <x:c r="L93" s="29" t="str">
        <x:v>WYSYŁKA PRZED ZAMÓWIENIEM</x:v>
      </x:c>
      <x:c r="M93" s="29" t="str">
        <x:v>OK / OK</x:v>
      </x:c>
    </x:row>
    <x:row r="94">
      <x:c r="A94" s="28" t="str">
        <x:v>ZAM/2025/000645</x:v>
      </x:c>
      <x:c r="B94" s="70"/>
      <x:c r="C94" s="28" t="str">
        <x:v>Telefon/B2B</x:v>
      </x:c>
      <x:c r="D94" s="28" t="str">
        <x:v>PODKŁADKA POD MYSZ</x:v>
      </x:c>
      <x:c r="E94" s="28" t="str">
        <x:v>BI-1013</x:v>
      </x:c>
      <x:c r="F94" s="28" t="str">
        <x:v>Biuro</x:v>
      </x:c>
      <x:c r="G94" s="71" t="n">
        <x:v>30</x:v>
      </x:c>
      <x:c r="H94" s="72" t="n">
        <x:v>1056.06</x:v>
      </x:c>
      <x:c r="I94" s="73" t="n">
        <x:v>0.15</x:v>
      </x:c>
      <x:c r="J94" s="28" t="str">
        <x:v>Zrealizowane</x:v>
      </x:c>
      <x:c r="K94" s="72" t="n">
        <x:v>26929.53</x:v>
      </x:c>
      <x:c r="L94" s="28" t="str">
        <x:v>BRAK DATY ZAMÓWIENIA</x:v>
      </x:c>
      <x:c r="M94" s="28" t="str">
        <x:v>OK / OK</x:v>
      </x:c>
    </x:row>
    <x:row r="95">
      <x:c r="A95" s="29" t="str">
        <x:v>ZAM/2025/000690</x:v>
      </x:c>
      <x:c r="B95" s="74" t="n">
        <x:v>45808</x:v>
      </x:c>
      <x:c r="C95" s="29" t="str">
        <x:v>Sklep online</x:v>
      </x:c>
      <x:c r="D95" s="29" t="str">
        <x:v>SUSZARKA NA PRANIE</x:v>
      </x:c>
      <x:c r="E95" s="29" t="str">
        <x:v>DK-1013</x:v>
      </x:c>
      <x:c r="F95" s="29" t="str">
        <x:v>Dom i kuchnia</x:v>
      </x:c>
      <x:c r="G95" s="75" t="n">
        <x:v>1</x:v>
      </x:c>
      <x:c r="H95" s="76"/>
      <x:c r="I95" s="77" t="n">
        <x:v>0</x:v>
      </x:c>
      <x:c r="J95" s="29" t="str">
        <x:v>Zrealizowane</x:v>
      </x:c>
      <x:c r="K95" s="76"/>
      <x:c r="L95" s="29" t="str">
        <x:v>OK</x:v>
      </x:c>
      <x:c r="M95" s="29" t="str">
        <x:v>BRAK LUB BŁĄD CENY / OK</x:v>
      </x:c>
    </x:row>
    <x:row r="96">
      <x:c r="A96" s="28" t="str">
        <x:v>ZAM/2025/000690</x:v>
      </x:c>
      <x:c r="B96" s="70" t="n">
        <x:v>45808</x:v>
      </x:c>
      <x:c r="C96" s="28" t="str">
        <x:v>Sklep online</x:v>
      </x:c>
      <x:c r="D96" s="28" t="str">
        <x:v>SUSZARKA NA PRANIE</x:v>
      </x:c>
      <x:c r="E96" s="28" t="str">
        <x:v>DK-1013</x:v>
      </x:c>
      <x:c r="F96" s="28" t="str">
        <x:v>Dom i kuchnia</x:v>
      </x:c>
      <x:c r="G96" s="71" t="n">
        <x:v>1</x:v>
      </x:c>
      <x:c r="H96" s="72"/>
      <x:c r="I96" s="73" t="n">
        <x:v>0</x:v>
      </x:c>
      <x:c r="J96" s="28" t="str">
        <x:v>Zrealizowane</x:v>
      </x:c>
      <x:c r="K96" s="72"/>
      <x:c r="L96" s="28" t="str">
        <x:v>OK</x:v>
      </x:c>
      <x:c r="M96" s="28" t="str">
        <x:v>BRAK LUB BŁĄD CENY / OK</x:v>
      </x:c>
    </x:row>
    <x:row r="97">
      <x:c r="A97" s="210"/>
      <x:c r="B97" s="210"/>
      <x:c r="C97" s="210"/>
      <x:c r="D97" s="210"/>
      <x:c r="E97" s="210"/>
      <x:c r="F97" s="210"/>
      <x:c r="G97" s="210"/>
      <x:c r="H97" s="210"/>
      <x:c r="I97" s="210"/>
      <x:c r="J97" s="210"/>
      <x:c r="K97" s="210"/>
      <x:c r="L97" s="210"/>
      <x:c r="M97" s="210"/>
    </x:row>
    <x:row r="98">
      <x:c r="A98" s="210"/>
      <x:c r="B98" s="210"/>
      <x:c r="C98" s="210"/>
      <x:c r="D98" s="210"/>
      <x:c r="E98" s="210"/>
      <x:c r="F98" s="210"/>
      <x:c r="G98" s="210"/>
      <x:c r="H98" s="210"/>
      <x:c r="I98" s="210"/>
      <x:c r="J98" s="210"/>
      <x:c r="K98" s="210"/>
      <x:c r="L98" s="210"/>
      <x:c r="M98" s="210"/>
    </x:row>
    <x:row r="99" ht="23" customHeight="1">
      <x:c r="A99" s="16" t="str">
        <x:v>KONTROLA_Budzet - rekordy wyłączone z budżetu</x:v>
      </x:c>
      <x:c r="B99" s="16" t="str">
        <x:v>KONTROLA_Budzet - rekordy wyłączone z budżetu</x:v>
      </x:c>
      <x:c r="C99" s="16" t="str">
        <x:v>KONTROLA_Budzet - rekordy wyłączone z budżetu</x:v>
      </x:c>
      <x:c r="D99" s="16" t="str">
        <x:v>KONTROLA_Budzet - rekordy wyłączone z budżetu</x:v>
      </x:c>
      <x:c r="E99" s="16" t="str">
        <x:v>KONTROLA_Budzet - rekordy wyłączone z budżetu</x:v>
      </x:c>
      <x:c r="F99" s="16" t="str">
        <x:v>KONTROLA_Budzet - rekordy wyłączone z budżetu</x:v>
      </x:c>
      <x:c r="G99" s="16" t="str">
        <x:v>KONTROLA_Budzet - rekordy wyłączone z budżetu</x:v>
      </x:c>
      <x:c r="H99" s="16" t="str">
        <x:v>KONTROLA_Budzet - rekordy wyłączone z budżetu</x:v>
      </x:c>
      <x:c r="I99" s="210"/>
      <x:c r="J99" s="210"/>
      <x:c r="K99" s="210"/>
      <x:c r="L99" s="210"/>
      <x:c r="M99" s="210"/>
    </x:row>
    <x:row r="100" ht="32" customHeight="1">
      <x:c r="A100" s="21" t="str">
        <x:v>Miesiąc</x:v>
      </x:c>
      <x:c r="B100" s="21" t="str">
        <x:v>Kategoria</x:v>
      </x:c>
      <x:c r="C100" s="21" t="str">
        <x:v>Kanał</x:v>
      </x:c>
      <x:c r="D100" s="21" t="str">
        <x:v>Budżet</x:v>
      </x:c>
      <x:c r="E100" s="21" t="str">
        <x:v>Cel marży</x:v>
      </x:c>
      <x:c r="F100" s="21" t="str">
        <x:v>Plan zamówień</x:v>
      </x:c>
      <x:c r="G100" s="21" t="str">
        <x:v>Flaga miesiąca</x:v>
      </x:c>
      <x:c r="H100" s="21" t="str">
        <x:v>Flaga marży</x:v>
      </x:c>
      <x:c r="I100" s="210"/>
      <x:c r="J100" s="210"/>
      <x:c r="K100" s="210"/>
      <x:c r="L100" s="210"/>
      <x:c r="M100" s="210"/>
    </x:row>
    <x:row r="101">
      <x:c r="A101" s="59" t="n">
        <x:v>45689</x:v>
      </x:c>
      <x:c r="B101" s="24" t="str">
        <x:v>Dom i kuchnia</x:v>
      </x:c>
      <x:c r="C101" s="24" t="str">
        <x:v>Telefon/B2B</x:v>
      </x:c>
      <x:c r="D101" s="53" t="n">
        <x:v>5830.4</x:v>
      </x:c>
      <x:c r="E101" s="47"/>
      <x:c r="F101" s="65" t="n">
        <x:v>167</x:v>
      </x:c>
      <x:c r="G101" s="24" t="str">
        <x:v>OK</x:v>
      </x:c>
      <x:c r="H101" s="24" t="str">
        <x:v>BŁĄD</x:v>
      </x:c>
      <x:c r="I101" s="210"/>
      <x:c r="J101" s="210"/>
      <x:c r="K101" s="210"/>
      <x:c r="L101" s="210"/>
      <x:c r="M101" s="210"/>
    </x:row>
    <x:row r="102">
      <x:c r="A102" s="60" t="n">
        <x:v>45689</x:v>
      </x:c>
      <x:c r="B102" s="27" t="str">
        <x:v>Uroda i zdrowie</x:v>
      </x:c>
      <x:c r="C102" s="27" t="str">
        <x:v>Marketplace</x:v>
      </x:c>
      <x:c r="D102" s="51" t="n">
        <x:v>13985.58</x:v>
      </x:c>
      <x:c r="E102" s="49"/>
      <x:c r="F102" s="66" t="n">
        <x:v>134</x:v>
      </x:c>
      <x:c r="G102" s="27" t="str">
        <x:v>OK</x:v>
      </x:c>
      <x:c r="H102" s="27" t="str">
        <x:v>BŁĄD</x:v>
      </x:c>
      <x:c r="I102" s="210"/>
      <x:c r="J102" s="210"/>
      <x:c r="K102" s="210"/>
      <x:c r="L102" s="210"/>
      <x:c r="M102" s="210"/>
    </x:row>
    <x:row r="103">
      <x:c r="A103" s="59" t="n">
        <x:v>45689</x:v>
      </x:c>
      <x:c r="B103" s="24" t="str">
        <x:v>Uroda i zdrowie</x:v>
      </x:c>
      <x:c r="C103" s="24" t="str">
        <x:v>Telefon/B2B</x:v>
      </x:c>
      <x:c r="D103" s="53" t="n">
        <x:v>4235.1</x:v>
      </x:c>
      <x:c r="E103" s="47"/>
      <x:c r="F103" s="65" t="n">
        <x:v>175</x:v>
      </x:c>
      <x:c r="G103" s="24" t="str">
        <x:v>OK</x:v>
      </x:c>
      <x:c r="H103" s="24" t="str">
        <x:v>BŁĄD</x:v>
      </x:c>
      <x:c r="I103" s="210"/>
      <x:c r="J103" s="210"/>
      <x:c r="K103" s="210"/>
      <x:c r="L103" s="210"/>
      <x:c r="M103" s="210"/>
    </x:row>
    <x:row r="104">
      <x:c r="A104" s="60" t="n">
        <x:v>45717</x:v>
      </x:c>
      <x:c r="B104" s="27" t="str">
        <x:v>Biuro</x:v>
      </x:c>
      <x:c r="C104" s="27" t="str">
        <x:v>Sklep stacjonarny</x:v>
      </x:c>
      <x:c r="D104" s="51" t="n">
        <x:v>15978.97</x:v>
      </x:c>
      <x:c r="E104" s="49"/>
      <x:c r="F104" s="66" t="n">
        <x:v>230</x:v>
      </x:c>
      <x:c r="G104" s="27" t="str">
        <x:v>OK</x:v>
      </x:c>
      <x:c r="H104" s="27" t="str">
        <x:v>BŁĄD</x:v>
      </x:c>
      <x:c r="I104" s="210"/>
      <x:c r="J104" s="210"/>
      <x:c r="K104" s="210"/>
      <x:c r="L104" s="210"/>
      <x:c r="M104" s="210"/>
    </x:row>
    <x:row r="105">
      <x:c r="A105" s="59" t="n">
        <x:v>45748</x:v>
      </x:c>
      <x:c r="B105" s="24" t="str">
        <x:v>Elektronika</x:v>
      </x:c>
      <x:c r="C105" s="24" t="str">
        <x:v>Marketplace</x:v>
      </x:c>
      <x:c r="D105" s="53" t="n">
        <x:v>34252.61</x:v>
      </x:c>
      <x:c r="E105" s="47"/>
      <x:c r="F105" s="65" t="n">
        <x:v>283</x:v>
      </x:c>
      <x:c r="G105" s="24" t="str">
        <x:v>OK</x:v>
      </x:c>
      <x:c r="H105" s="24" t="str">
        <x:v>BŁĄD</x:v>
      </x:c>
      <x:c r="I105" s="210"/>
      <x:c r="J105" s="210"/>
      <x:c r="K105" s="210"/>
      <x:c r="L105" s="210"/>
      <x:c r="M105" s="210"/>
    </x:row>
    <x:row r="106">
      <x:c r="A106" s="60" t="n">
        <x:v>45748</x:v>
      </x:c>
      <x:c r="B106" s="27" t="str">
        <x:v>Sport i turystyka</x:v>
      </x:c>
      <x:c r="C106" s="27" t="str">
        <x:v>Marketplace</x:v>
      </x:c>
      <x:c r="D106" s="51" t="n">
        <x:v>16677.36</x:v>
      </x:c>
      <x:c r="E106" s="49"/>
      <x:c r="F106" s="66" t="n">
        <x:v>244</x:v>
      </x:c>
      <x:c r="G106" s="27" t="str">
        <x:v>OK</x:v>
      </x:c>
      <x:c r="H106" s="27" t="str">
        <x:v>BŁĄD</x:v>
      </x:c>
      <x:c r="I106" s="210"/>
      <x:c r="J106" s="210"/>
      <x:c r="K106" s="210"/>
      <x:c r="L106" s="210"/>
      <x:c r="M106" s="210"/>
    </x:row>
    <x:row r="107">
      <x:c r="A107" s="59" t="n">
        <x:v>45778</x:v>
      </x:c>
      <x:c r="B107" s="24" t="str">
        <x:v>Elektronika</x:v>
      </x:c>
      <x:c r="C107" s="24" t="str">
        <x:v>Sklep online</x:v>
      </x:c>
      <x:c r="D107" s="53" t="n">
        <x:v>71758.91</x:v>
      </x:c>
      <x:c r="E107" s="47"/>
      <x:c r="F107" s="65" t="n">
        <x:v>361</x:v>
      </x:c>
      <x:c r="G107" s="24" t="str">
        <x:v>OK</x:v>
      </x:c>
      <x:c r="H107" s="24" t="str">
        <x:v>BŁĄD</x:v>
      </x:c>
      <x:c r="I107" s="210"/>
      <x:c r="J107" s="210"/>
      <x:c r="K107" s="210"/>
      <x:c r="L107" s="210"/>
      <x:c r="M107" s="210"/>
    </x:row>
    <x:row r="108">
      <x:c r="A108" s="60" t="n">
        <x:v>45778</x:v>
      </x:c>
      <x:c r="B108" s="27" t="str">
        <x:v>Biuro</x:v>
      </x:c>
      <x:c r="C108" s="27" t="str">
        <x:v>Telefon/B2B</x:v>
      </x:c>
      <x:c r="D108" s="51" t="n">
        <x:v>5248.03</x:v>
      </x:c>
      <x:c r="E108" s="49"/>
      <x:c r="F108" s="66" t="n">
        <x:v>362</x:v>
      </x:c>
      <x:c r="G108" s="27" t="str">
        <x:v>OK</x:v>
      </x:c>
      <x:c r="H108" s="27" t="str">
        <x:v>BŁĄD</x:v>
      </x:c>
      <x:c r="I108" s="210"/>
      <x:c r="J108" s="210"/>
      <x:c r="K108" s="210"/>
      <x:c r="L108" s="210"/>
      <x:c r="M108" s="210"/>
    </x:row>
    <x:row r="109">
      <x:c r="A109" s="59" t="n">
        <x:v>45778</x:v>
      </x:c>
      <x:c r="B109" s="24" t="str">
        <x:v>Uroda i zdrowie</x:v>
      </x:c>
      <x:c r="C109" s="24" t="str">
        <x:v>Marketplace</x:v>
      </x:c>
      <x:c r="D109" s="53" t="n">
        <x:v>16683.64</x:v>
      </x:c>
      <x:c r="E109" s="47"/>
      <x:c r="F109" s="65" t="n">
        <x:v>144</x:v>
      </x:c>
      <x:c r="G109" s="24" t="str">
        <x:v>OK</x:v>
      </x:c>
      <x:c r="H109" s="24" t="str">
        <x:v>BŁĄD</x:v>
      </x:c>
      <x:c r="I109" s="210"/>
      <x:c r="J109" s="210"/>
      <x:c r="K109" s="210"/>
      <x:c r="L109" s="210"/>
      <x:c r="M109" s="210"/>
    </x:row>
    <x:row r="110">
      <x:c r="A110" s="60" t="n">
        <x:v>45809</x:v>
      </x:c>
      <x:c r="B110" s="27" t="str">
        <x:v>Elektronika</x:v>
      </x:c>
      <x:c r="C110" s="27" t="str">
        <x:v>Marketplace</x:v>
      </x:c>
      <x:c r="D110" s="51" t="n">
        <x:v>38442.76</x:v>
      </x:c>
      <x:c r="E110" s="49"/>
      <x:c r="F110" s="66" t="n">
        <x:v>107</x:v>
      </x:c>
      <x:c r="G110" s="27" t="str">
        <x:v>OK</x:v>
      </x:c>
      <x:c r="H110" s="27" t="str">
        <x:v>BŁĄD</x:v>
      </x:c>
      <x:c r="I110" s="210"/>
      <x:c r="J110" s="210"/>
      <x:c r="K110" s="210"/>
      <x:c r="L110" s="210"/>
      <x:c r="M110" s="210"/>
    </x:row>
    <x:row r="111">
      <x:c r="A111" s="59" t="n">
        <x:v>45839</x:v>
      </x:c>
      <x:c r="B111" s="24" t="str">
        <x:v>Uroda i zdrowie</x:v>
      </x:c>
      <x:c r="C111" s="24" t="str">
        <x:v>Telefon/B2B</x:v>
      </x:c>
      <x:c r="D111" s="53" t="n">
        <x:v>4663.34</x:v>
      </x:c>
      <x:c r="E111" s="47"/>
      <x:c r="F111" s="65" t="n">
        <x:v>304</x:v>
      </x:c>
      <x:c r="G111" s="24" t="str">
        <x:v>OK</x:v>
      </x:c>
      <x:c r="H111" s="24" t="str">
        <x:v>BŁĄD</x:v>
      </x:c>
      <x:c r="I111" s="210"/>
      <x:c r="J111" s="210"/>
      <x:c r="K111" s="210"/>
      <x:c r="L111" s="210"/>
      <x:c r="M111" s="210"/>
    </x:row>
    <x:row r="112">
      <x:c r="A112" s="60" t="n">
        <x:v>45870</x:v>
      </x:c>
      <x:c r="B112" s="27" t="str">
        <x:v>Dom i kuchnia</x:v>
      </x:c>
      <x:c r="C112" s="27" t="str">
        <x:v>Telefon/B2B</x:v>
      </x:c>
      <x:c r="D112" s="51" t="n">
        <x:v>7158.14</x:v>
      </x:c>
      <x:c r="E112" s="49"/>
      <x:c r="F112" s="66" t="n">
        <x:v>366</x:v>
      </x:c>
      <x:c r="G112" s="27" t="str">
        <x:v>OK</x:v>
      </x:c>
      <x:c r="H112" s="27" t="str">
        <x:v>BŁĄD</x:v>
      </x:c>
      <x:c r="I112" s="210"/>
      <x:c r="J112" s="210"/>
      <x:c r="K112" s="210"/>
      <x:c r="L112" s="210"/>
      <x:c r="M112" s="210"/>
    </x:row>
    <x:row r="113">
      <x:c r="A113" s="59" t="n">
        <x:v>45931</x:v>
      </x:c>
      <x:c r="B113" s="24" t="str">
        <x:v>Biuro</x:v>
      </x:c>
      <x:c r="C113" s="24" t="str">
        <x:v>Marketplace</x:v>
      </x:c>
      <x:c r="D113" s="53" t="n">
        <x:v>17774.18</x:v>
      </x:c>
      <x:c r="E113" s="47"/>
      <x:c r="F113" s="65" t="n">
        <x:v>378</x:v>
      </x:c>
      <x:c r="G113" s="24" t="str">
        <x:v>OK</x:v>
      </x:c>
      <x:c r="H113" s="24" t="str">
        <x:v>BŁĄD</x:v>
      </x:c>
      <x:c r="I113" s="210"/>
      <x:c r="J113" s="210"/>
      <x:c r="K113" s="210"/>
      <x:c r="L113" s="210"/>
      <x:c r="M113" s="210"/>
    </x:row>
    <x:row r="114">
      <x:c r="A114" s="60" t="n">
        <x:v>45962</x:v>
      </x:c>
      <x:c r="B114" s="27" t="str">
        <x:v>Biuro</x:v>
      </x:c>
      <x:c r="C114" s="27" t="str">
        <x:v>Sklep stacjonarny</x:v>
      </x:c>
      <x:c r="D114" s="51" t="n">
        <x:v>22933.34</x:v>
      </x:c>
      <x:c r="E114" s="49"/>
      <x:c r="F114" s="66" t="n">
        <x:v>94</x:v>
      </x:c>
      <x:c r="G114" s="27" t="str">
        <x:v>OK</x:v>
      </x:c>
      <x:c r="H114" s="27" t="str">
        <x:v>BŁĄD</x:v>
      </x:c>
      <x:c r="I114" s="210"/>
      <x:c r="J114" s="210"/>
      <x:c r="K114" s="210"/>
      <x:c r="L114" s="210"/>
      <x:c r="M114" s="210"/>
    </x:row>
    <x:row r="115">
      <x:c r="A115" s="59" t="n">
        <x:v>45992</x:v>
      </x:c>
      <x:c r="B115" s="24" t="str">
        <x:v>Elektronika</x:v>
      </x:c>
      <x:c r="C115" s="24" t="str">
        <x:v>Marketplace</x:v>
      </x:c>
      <x:c r="D115" s="53" t="n">
        <x:v>46083.8</x:v>
      </x:c>
      <x:c r="E115" s="47"/>
      <x:c r="F115" s="65" t="n">
        <x:v>162</x:v>
      </x:c>
      <x:c r="G115" s="24" t="str">
        <x:v>OK</x:v>
      </x:c>
      <x:c r="H115" s="24" t="str">
        <x:v>BŁĄD</x:v>
      </x:c>
      <x:c r="I115" s="210"/>
      <x:c r="J115" s="210"/>
      <x:c r="K115" s="210"/>
      <x:c r="L115" s="210"/>
      <x:c r="M115" s="210"/>
    </x:row>
    <x:row r="116">
      <x:c r="A116" s="60"/>
      <x:c r="B116" s="27" t="str">
        <x:v>Elektronika</x:v>
      </x:c>
      <x:c r="C116" s="27" t="str">
        <x:v>Sklep online</x:v>
      </x:c>
      <x:c r="D116" s="51" t="n">
        <x:v>120000</x:v>
      </x:c>
      <x:c r="E116" s="49" t="n">
        <x:v>0.25</x:v>
      </x:c>
      <x:c r="F116" s="66" t="n">
        <x:v>250</x:v>
      </x:c>
      <x:c r="G116" s="27" t="str">
        <x:v>BŁĄD</x:v>
      </x:c>
      <x:c r="H116" s="27" t="str">
        <x:v>OK</x:v>
      </x:c>
      <x:c r="I116" s="210"/>
      <x:c r="J116" s="210"/>
      <x:c r="K116" s="210"/>
      <x:c r="L116" s="210"/>
      <x:c r="M116" s="210"/>
    </x:row>
    <x:row r="117">
      <x:c r="A117" s="210"/>
      <x:c r="B117" s="210"/>
      <x:c r="C117" s="210"/>
      <x:c r="D117" s="210"/>
      <x:c r="E117" s="210"/>
      <x:c r="F117" s="210"/>
      <x:c r="G117" s="210"/>
      <x:c r="H117" s="210"/>
      <x:c r="I117" s="210"/>
      <x:c r="J117" s="210"/>
      <x:c r="K117" s="210"/>
      <x:c r="L117" s="210"/>
      <x:c r="M117" s="210"/>
    </x:row>
    <x:row r="118">
      <x:c r="A118" s="210"/>
      <x:c r="B118" s="210"/>
      <x:c r="C118" s="210"/>
      <x:c r="D118" s="210"/>
      <x:c r="E118" s="210"/>
      <x:c r="F118" s="210"/>
      <x:c r="G118" s="210"/>
      <x:c r="H118" s="210"/>
      <x:c r="I118" s="210"/>
      <x:c r="J118" s="210"/>
      <x:c r="K118" s="210"/>
      <x:c r="L118" s="210"/>
      <x:c r="M118" s="210"/>
    </x:row>
    <x:row r="119" ht="23" customHeight="1">
      <x:c r="A119" s="16" t="str">
        <x:v>KONTROLA_Zwroty - rekordy wyłączone z analizy zwrotów</x:v>
      </x:c>
      <x:c r="B119" s="16" t="str">
        <x:v>KONTROLA_Zwroty - rekordy wyłączone z analizy zwrotów</x:v>
      </x:c>
      <x:c r="C119" s="16" t="str">
        <x:v>KONTROLA_Zwroty - rekordy wyłączone z analizy zwrotów</x:v>
      </x:c>
      <x:c r="D119" s="16" t="str">
        <x:v>KONTROLA_Zwroty - rekordy wyłączone z analizy zwrotów</x:v>
      </x:c>
      <x:c r="E119" s="16" t="str">
        <x:v>KONTROLA_Zwroty - rekordy wyłączone z analizy zwrotów</x:v>
      </x:c>
      <x:c r="F119" s="16" t="str">
        <x:v>KONTROLA_Zwroty - rekordy wyłączone z analizy zwrotów</x:v>
      </x:c>
      <x:c r="G119" s="16" t="str">
        <x:v>KONTROLA_Zwroty - rekordy wyłączone z analizy zwrotów</x:v>
      </x:c>
      <x:c r="H119" s="16" t="str">
        <x:v>KONTROLA_Zwroty - rekordy wyłączone z analizy zwrotów</x:v>
      </x:c>
      <x:c r="I119" s="16" t="str">
        <x:v>KONTROLA_Zwroty - rekordy wyłączone z analizy zwrotów</x:v>
      </x:c>
      <x:c r="J119" s="210"/>
      <x:c r="K119" s="210"/>
      <x:c r="L119" s="210"/>
      <x:c r="M119" s="210"/>
    </x:row>
    <x:row r="120" ht="32" customHeight="1">
      <x:c r="A120" s="21" t="str">
        <x:v>Nr zamówienia</x:v>
      </x:c>
      <x:c r="B120" s="21" t="str">
        <x:v>Data</x:v>
      </x:c>
      <x:c r="C120" s="21" t="str">
        <x:v>Typ</x:v>
      </x:c>
      <x:c r="D120" s="21" t="str">
        <x:v>Powód</x:v>
      </x:c>
      <x:c r="E120" s="21" t="str">
        <x:v>Ilość</x:v>
      </x:c>
      <x:c r="F120" s="21" t="str">
        <x:v>Kwota</x:v>
      </x:c>
      <x:c r="G120" s="21" t="str">
        <x:v>Status</x:v>
      </x:c>
      <x:c r="H120" s="21" t="str">
        <x:v>Kontrola daty</x:v>
      </x:c>
      <x:c r="I120" s="21" t="str">
        <x:v>Kontrola kwoty</x:v>
      </x:c>
      <x:c r="J120" s="210"/>
      <x:c r="K120" s="210"/>
      <x:c r="L120" s="210"/>
      <x:c r="M120" s="210"/>
    </x:row>
    <x:row r="121">
      <x:c r="A121" s="24" t="str">
        <x:v>ZAM/2025/000889</x:v>
      </x:c>
      <x:c r="B121" s="68" t="n">
        <x:v>45818</x:v>
      </x:c>
      <x:c r="C121" s="24" t="str">
        <x:v>Zwrot</x:v>
      </x:c>
      <x:c r="D121" s="24" t="str">
        <x:v>Uszkodzone w transporcie</x:v>
      </x:c>
      <x:c r="E121" s="65" t="n">
        <x:v>1</x:v>
      </x:c>
      <x:c r="F121" s="53" t="n">
        <x:v>370.7</x:v>
      </x:c>
      <x:c r="G121" s="24" t="str">
        <x:v>Przyjęte</x:v>
      </x:c>
      <x:c r="H121" s="24" t="str">
        <x:v>Status otwarty z datą zakończenia</x:v>
      </x:c>
      <x:c r="I121" s="24" t="str">
        <x:v>OK</x:v>
      </x:c>
      <x:c r="J121" s="210"/>
      <x:c r="K121" s="210"/>
      <x:c r="L121" s="210"/>
      <x:c r="M121" s="210"/>
    </x:row>
    <x:row r="122">
      <x:c r="A122" s="27" t="str">
        <x:v>ZAM/2025/000803</x:v>
      </x:c>
      <x:c r="B122" s="69" t="n">
        <x:v>45705</x:v>
      </x:c>
      <x:c r="C122" s="27" t="str">
        <x:v>Zwrot</x:v>
      </x:c>
      <x:c r="D122" s="27" t="str">
        <x:v>Niezgodność z opisem</x:v>
      </x:c>
      <x:c r="E122" s="66" t="n">
        <x:v>1</x:v>
      </x:c>
      <x:c r="F122" s="51" t="n">
        <x:v>145.12</x:v>
      </x:c>
      <x:c r="G122" s="27" t="str">
        <x:v>Oczekuje</x:v>
      </x:c>
      <x:c r="H122" s="27" t="str">
        <x:v>Status otwarty z datą zakończenia</x:v>
      </x:c>
      <x:c r="I122" s="27" t="str">
        <x:v>OK</x:v>
      </x:c>
      <x:c r="J122" s="210"/>
      <x:c r="K122" s="210"/>
      <x:c r="L122" s="210"/>
      <x:c r="M122" s="210"/>
    </x:row>
    <x:row r="123">
      <x:c r="A123" s="24" t="str">
        <x:v>ZAM/2025/001409</x:v>
      </x:c>
      <x:c r="B123" s="68" t="n">
        <x:v>45883</x:v>
      </x:c>
      <x:c r="C123" s="24" t="str">
        <x:v>Zwrot</x:v>
      </x:c>
      <x:c r="D123" s="24" t="str">
        <x:v>Błędny rozmiar/model</x:v>
      </x:c>
      <x:c r="E123" s="65" t="n">
        <x:v>2</x:v>
      </x:c>
      <x:c r="F123" s="53" t="n">
        <x:v>1427.94</x:v>
      </x:c>
      <x:c r="G123" s="24" t="str">
        <x:v>Przyjęte</x:v>
      </x:c>
      <x:c r="H123" s="24" t="str">
        <x:v>Status otwarty z datą zakończenia</x:v>
      </x:c>
      <x:c r="I123" s="24" t="str">
        <x:v>OK</x:v>
      </x:c>
      <x:c r="J123" s="210"/>
      <x:c r="K123" s="210"/>
      <x:c r="L123" s="210"/>
      <x:c r="M123" s="210"/>
    </x:row>
    <x:row r="124">
      <x:c r="A124" s="27" t="str">
        <x:v>ZAM/2025/001171</x:v>
      </x:c>
      <x:c r="B124" s="69" t="n">
        <x:v>45795</x:v>
      </x:c>
      <x:c r="C124" s="27" t="str">
        <x:v>Zwrot</x:v>
      </x:c>
      <x:c r="D124" s="27" t="str">
        <x:v>Opóźniona dostawa</x:v>
      </x:c>
      <x:c r="E124" s="66" t="n">
        <x:v>2</x:v>
      </x:c>
      <x:c r="F124" s="51" t="n">
        <x:v>236.34</x:v>
      </x:c>
      <x:c r="G124" s="27" t="str">
        <x:v>Oczekuje</x:v>
      </x:c>
      <x:c r="H124" s="27" t="str">
        <x:v>Status otwarty z datą zakończenia</x:v>
      </x:c>
      <x:c r="I124" s="27" t="str">
        <x:v>OK</x:v>
      </x:c>
      <x:c r="J124" s="210"/>
      <x:c r="K124" s="210"/>
      <x:c r="L124" s="210"/>
      <x:c r="M124" s="210"/>
    </x:row>
    <x:row r="125">
      <x:c r="A125" s="24" t="str">
        <x:v>ZAM/2025/000010</x:v>
      </x:c>
      <x:c r="B125" s="68" t="n">
        <x:v>45718</x:v>
      </x:c>
      <x:c r="C125" s="24" t="str">
        <x:v>Reklamacja</x:v>
      </x:c>
      <x:c r="D125" s="24" t="str">
        <x:v>Wadliwy produkt</x:v>
      </x:c>
      <x:c r="E125" s="65" t="n">
        <x:v>1</x:v>
      </x:c>
      <x:c r="F125" s="53" t="n">
        <x:v>99.99</x:v>
      </x:c>
      <x:c r="G125" s="24" t="str">
        <x:v>W Trakcie</x:v>
      </x:c>
      <x:c r="H125" s="24" t="str">
        <x:v>OK</x:v>
      </x:c>
      <x:c r="I125" s="24" t="str">
        <x:v>OK</x:v>
      </x:c>
      <x:c r="J125" s="210"/>
      <x:c r="K125" s="210"/>
      <x:c r="L125" s="210"/>
      <x:c r="M125" s="210"/>
    </x:row>
  </x:sheetData>
  <x:mergeCells>
    <x:mergeCell ref="A1:M1"/>
    <x:mergeCell ref="A2:M2"/>
    <x:mergeCell ref="A12:M12"/>
    <x:mergeCell ref="A99:H99"/>
    <x:mergeCell ref="A119:I1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15" hidden="0" customWidth="1"/>
    <x:col min="4" max="4" width="18" hidden="0" customWidth="1"/>
    <x:col min="5" max="5" width="19" hidden="0" customWidth="1"/>
    <x:col min="6" max="6" width="14" hidden="0" customWidth="1"/>
    <x:col min="7" max="7" width="18" hidden="0" customWidth="1"/>
    <x:col min="8" max="8" width="18" hidden="0" customWidth="1"/>
    <x:col min="9" max="9" width="13" hidden="0" customWidth="1"/>
    <x:col min="10" max="10" width="18" hidden="0" customWidth="1"/>
    <x:col min="11" max="11" width="18" hidden="0" customWidth="1"/>
    <x:col min="12" max="12" width="14" hidden="0" customWidth="1"/>
    <x:col min="13" max="13" width="21" hidden="0" customWidth="1"/>
  </x:cols>
  <x:sheetData>
    <x:row r="1">
      <x:c r="A1" s="216" t="str">
        <x:v>SPRZEDAŻ - WYKONANIE 2025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</x:row>
    <x:row r="2" ht="32" customHeight="1">
      <x:c r="A2" s="42" t="str">
        <x:v>Miesięczne wykonanie pochodzi z ANALIZA_Czas po wyłączeniach kontroli. Zwroty i KWS wykorzystują rzeczywiste stopy źródłowe, ponieważ w skoroszycie nie ma widocznego miesięcznego rozkładu tych pozycji.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</x:row>
    <x:row r="4" ht="32" customHeight="1">
      <x:c r="A4" s="21" t="str">
        <x:v>Miesiąc</x:v>
      </x:c>
      <x:c r="B4" s="21" t="str">
        <x:v>Przychód brutto czysty</x:v>
      </x:c>
      <x:c r="C4" s="21" t="str">
        <x:v>Stopa zwrotów</x:v>
      </x:c>
      <x:c r="D4" s="21" t="str">
        <x:v>Zwroty ujęte</x:v>
      </x:c>
      <x:c r="E4" s="21" t="str">
        <x:v>Przychód netto</x:v>
      </x:c>
      <x:c r="F4" s="21" t="str">
        <x:v>Stopa KWS</x:v>
      </x:c>
      <x:c r="G4" s="21" t="str">
        <x:v>KWS</x:v>
      </x:c>
      <x:c r="H4" s="21" t="str">
        <x:v>Marża brutto</x:v>
      </x:c>
      <x:c r="I4" s="21" t="str">
        <x:v>Marża %</x:v>
      </x:c>
      <x:c r="J4" s="21" t="str">
        <x:v>Budżet czysty</x:v>
      </x:c>
      <x:c r="K4" s="21" t="str">
        <x:v>Odchylenie</x:v>
      </x:c>
      <x:c r="L4" s="21" t="str">
        <x:v>Realizacja</x:v>
      </x:c>
      <x:c r="M4" s="21" t="str">
        <x:v>Status</x:v>
      </x:c>
    </x:row>
    <x:row r="5">
      <x:c r="A5" s="59" t="n">
        <x:f>'02_ZRODLO_MIESIACE'!A5</x:f>
        <x:v>45658</x:v>
      </x:c>
      <x:c r="B5" s="53" t="n">
        <x:f>'02_ZRODLO_MIESIACE'!D5</x:f>
        <x:v>263103.792</x:v>
      </x:c>
      <x:c r="C5" s="47" t="n">
        <x:f>'01_ZALOZENIA'!$E$25</x:f>
        <x:v>0.02620672207004912</x:v>
      </x:c>
      <x:c r="D5" s="53" t="n">
        <x:f>B5*C5</x:f>
        <x:v>6895.0879525200135</x:v>
      </x:c>
      <x:c r="E5" s="53" t="n">
        <x:f>B5-D5</x:f>
        <x:v>256208.70404748002</x:v>
      </x:c>
      <x:c r="F5" s="47" t="n">
        <x:f>'03_ZRODLO_KATEGORIE'!$H$10</x:f>
        <x:v>0.6234250979853875</x:v>
      </x:c>
      <x:c r="G5" s="53" t="n">
        <x:f>E5*F5</x:f>
        <x:v>159726.93642550937</x:v>
      </x:c>
      <x:c r="H5" s="53" t="n">
        <x:f>E5-G5</x:f>
        <x:v>96481.76762197065</x:v>
      </x:c>
      <x:c r="I5" s="47" t="n">
        <x:f>IFERROR(H5/E5,0)</x:f>
        <x:v>0.3765749020146125</x:v>
      </x:c>
      <x:c r="J5" s="53" t="n">
        <x:f>'02_ZRODLO_MIESIACE'!G5</x:f>
        <x:v>380693.48</x:v>
      </x:c>
      <x:c r="K5" s="53" t="n">
        <x:f>B5-J5</x:f>
        <x:v>-117589.68799999997</x:v>
      </x:c>
      <x:c r="L5" s="47" t="n">
        <x:f>IFERROR(B5/J5,0)</x:f>
        <x:v>0.6911171475802528</x:v>
      </x:c>
      <x:c r="M5" s="24" t="str">
        <x:f>IF(ABS(K5/J5)&lt;='01_ZALOZENIA'!$E$24,"W tolerancji",IF(K5&gt;0,"Powyżej budżetu","Poniżej budżetu"))</x:f>
        <x:v>Poniżej budżetu</x:v>
      </x:c>
    </x:row>
    <x:row r="6">
      <x:c r="A6" s="60" t="n">
        <x:f>'02_ZRODLO_MIESIACE'!A6</x:f>
        <x:v>45689</x:v>
      </x:c>
      <x:c r="B6" s="51" t="n">
        <x:f>'02_ZRODLO_MIESIACE'!D6</x:f>
        <x:v>292596.9099999999</x:v>
      </x:c>
      <x:c r="C6" s="49" t="n">
        <x:f>'01_ZALOZENIA'!$E$25</x:f>
        <x:v>0.02620672207004912</x:v>
      </x:c>
      <x:c r="D6" s="51" t="n">
        <x:f>B6*C6</x:f>
        <x:v>7668.005898925174</x:v>
      </x:c>
      <x:c r="E6" s="51" t="n">
        <x:f>B6-D6</x:f>
        <x:v>284928.90410107473</x:v>
      </x:c>
      <x:c r="F6" s="49" t="n">
        <x:f>'03_ZRODLO_KATEGORIE'!$H$10</x:f>
        <x:v>0.6234250979853875</x:v>
      </x:c>
      <x:c r="G6" s="51" t="n">
        <x:f>E6*F6</x:f>
        <x:v>177631.8299580816</x:v>
      </x:c>
      <x:c r="H6" s="51" t="n">
        <x:f>E6-G6</x:f>
        <x:v>107297.07414299314</x:v>
      </x:c>
      <x:c r="I6" s="49" t="n">
        <x:f>IFERROR(H6/E6,0)</x:f>
        <x:v>0.37657490201461247</x:v>
      </x:c>
      <x:c r="J6" s="51" t="n">
        <x:f>'02_ZRODLO_MIESIACE'!G6</x:f>
        <x:v>358269.3</x:v>
      </x:c>
      <x:c r="K6" s="51" t="n">
        <x:f>B6-J6</x:f>
        <x:v>-65672.39000000007</x:v>
      </x:c>
      <x:c r="L6" s="49" t="n">
        <x:f>IFERROR(B6/J6,0)</x:f>
        <x:v>0.816695457858097</x:v>
      </x:c>
      <x:c r="M6" s="27" t="str">
        <x:f>IF(ABS(K6/J6)&lt;='01_ZALOZENIA'!$E$24,"W tolerancji",IF(K6&gt;0,"Powyżej budżetu","Poniżej budżetu"))</x:f>
        <x:v>Poniżej budżetu</x:v>
      </x:c>
    </x:row>
    <x:row r="7">
      <x:c r="A7" s="59" t="n">
        <x:f>'02_ZRODLO_MIESIACE'!A7</x:f>
        <x:v>45717</x:v>
      </x:c>
      <x:c r="B7" s="53" t="n">
        <x:f>'02_ZRODLO_MIESIACE'!D7</x:f>
        <x:v>249726.53900000002</x:v>
      </x:c>
      <x:c r="C7" s="47" t="n">
        <x:f>'01_ZALOZENIA'!$E$25</x:f>
        <x:v>0.02620672207004912</x:v>
      </x:c>
      <x:c r="D7" s="53" t="n">
        <x:f>B7*C7</x:f>
        <x:v>6544.514001088283</x:v>
      </x:c>
      <x:c r="E7" s="53" t="n">
        <x:f>B7-D7</x:f>
        <x:v>243182.02499891174</x:v>
      </x:c>
      <x:c r="F7" s="47" t="n">
        <x:f>'03_ZRODLO_KATEGORIE'!$H$10</x:f>
        <x:v>0.6234250979853875</x:v>
      </x:c>
      <x:c r="G7" s="53" t="n">
        <x:f>E7*F7</x:f>
        <x:v>151605.7777632315</x:v>
      </x:c>
      <x:c r="H7" s="53" t="n">
        <x:f>E7-G7</x:f>
        <x:v>91576.24723568023</x:v>
      </x:c>
      <x:c r="I7" s="47" t="n">
        <x:f>IFERROR(H7/E7,0)</x:f>
        <x:v>0.37657490201461247</x:v>
      </x:c>
      <x:c r="J7" s="53" t="n">
        <x:f>'02_ZRODLO_MIESIACE'!G7</x:f>
        <x:v>456500.11000000004</x:v>
      </x:c>
      <x:c r="K7" s="53" t="n">
        <x:f>B7-J7</x:f>
        <x:v>-206773.57100000003</x:v>
      </x:c>
      <x:c r="L7" s="47" t="n">
        <x:f>IFERROR(B7/J7,0)</x:f>
        <x:v>0.5470459558049175</x:v>
      </x:c>
      <x:c r="M7" s="24" t="str">
        <x:f>IF(ABS(K7/J7)&lt;='01_ZALOZENIA'!$E$24,"W tolerancji",IF(K7&gt;0,"Powyżej budżetu","Poniżej budżetu"))</x:f>
        <x:v>Poniżej budżetu</x:v>
      </x:c>
    </x:row>
    <x:row r="8">
      <x:c r="A8" s="60" t="n">
        <x:f>'02_ZRODLO_MIESIACE'!A8</x:f>
        <x:v>45748</x:v>
      </x:c>
      <x:c r="B8" s="51" t="n">
        <x:f>'02_ZRODLO_MIESIACE'!D8</x:f>
        <x:v>315224.60300000006</x:v>
      </x:c>
      <x:c r="C8" s="49" t="n">
        <x:f>'01_ZALOZENIA'!$E$25</x:f>
        <x:v>0.02620672207004912</x:v>
      </x:c>
      <x:c r="D8" s="51" t="n">
        <x:f>B8*C8</x:f>
        <x:v>8261.003560462574</x:v>
      </x:c>
      <x:c r="E8" s="51" t="n">
        <x:f>B8-D8</x:f>
        <x:v>306963.5994395375</x:v>
      </x:c>
      <x:c r="F8" s="49" t="n">
        <x:f>'03_ZRODLO_KATEGORIE'!$H$10</x:f>
        <x:v>0.6234250979853875</x:v>
      </x:c>
      <x:c r="G8" s="51" t="n">
        <x:f>E8*F8</x:f>
        <x:v>191368.8120585409</x:v>
      </x:c>
      <x:c r="H8" s="51" t="n">
        <x:f>E8-G8</x:f>
        <x:v>115594.7873809966</x:v>
      </x:c>
      <x:c r="I8" s="49" t="n">
        <x:f>IFERROR(H8/E8,0)</x:f>
        <x:v>0.3765749020146125</x:v>
      </x:c>
      <x:c r="J8" s="51" t="n">
        <x:f>'02_ZRODLO_MIESIACE'!G8</x:f>
        <x:v>410852.95999999996</x:v>
      </x:c>
      <x:c r="K8" s="51" t="n">
        <x:f>B8-J8</x:f>
        <x:v>-95628.3569999999</x:v>
      </x:c>
      <x:c r="L8" s="49" t="n">
        <x:f>IFERROR(B8/J8,0)</x:f>
        <x:v>0.7672443275083136</x:v>
      </x:c>
      <x:c r="M8" s="27" t="str">
        <x:f>IF(ABS(K8/J8)&lt;='01_ZALOZENIA'!$E$24,"W tolerancji",IF(K8&gt;0,"Powyżej budżetu","Poniżej budżetu"))</x:f>
        <x:v>Poniżej budżetu</x:v>
      </x:c>
    </x:row>
    <x:row r="9">
      <x:c r="A9" s="59" t="n">
        <x:f>'02_ZRODLO_MIESIACE'!A9</x:f>
        <x:v>45778</x:v>
      </x:c>
      <x:c r="B9" s="53" t="n">
        <x:f>'02_ZRODLO_MIESIACE'!D9</x:f>
        <x:v>264184.5619999999</x:v>
      </x:c>
      <x:c r="C9" s="47" t="n">
        <x:f>'01_ZALOZENIA'!$E$25</x:f>
        <x:v>0.02620672207004912</x:v>
      </x:c>
      <x:c r="D9" s="53" t="n">
        <x:f>B9*C9</x:f>
        <x:v>6923.411391531658</x:v>
      </x:c>
      <x:c r="E9" s="53" t="n">
        <x:f>B9-D9</x:f>
        <x:v>257261.15060846825</x:v>
      </x:c>
      <x:c r="F9" s="47" t="n">
        <x:f>'03_ZRODLO_KATEGORIE'!$H$10</x:f>
        <x:v>0.6234250979853875</x:v>
      </x:c>
      <x:c r="G9" s="53" t="n">
        <x:f>E9*F9</x:f>
        <x:v>160383.05802591785</x:v>
      </x:c>
      <x:c r="H9" s="53" t="n">
        <x:f>E9-G9</x:f>
        <x:v>96878.0925825504</x:v>
      </x:c>
      <x:c r="I9" s="47" t="n">
        <x:f>IFERROR(H9/E9,0)</x:f>
        <x:v>0.37657490201461247</x:v>
      </x:c>
      <x:c r="J9" s="53" t="n">
        <x:f>'02_ZRODLO_MIESIACE'!G9</x:f>
        <x:v>366190.62</x:v>
      </x:c>
      <x:c r="K9" s="53" t="n">
        <x:f>B9-J9</x:f>
        <x:v>-102006.05800000008</x:v>
      </x:c>
      <x:c r="L9" s="47" t="n">
        <x:f>IFERROR(B9/J9,0)</x:f>
        <x:v>0.7214400030235617</x:v>
      </x:c>
      <x:c r="M9" s="24" t="str">
        <x:f>IF(ABS(K9/J9)&lt;='01_ZALOZENIA'!$E$24,"W tolerancji",IF(K9&gt;0,"Powyżej budżetu","Poniżej budżetu"))</x:f>
        <x:v>Poniżej budżetu</x:v>
      </x:c>
    </x:row>
    <x:row r="10">
      <x:c r="A10" s="60" t="n">
        <x:f>'02_ZRODLO_MIESIACE'!A10</x:f>
        <x:v>45809</x:v>
      </x:c>
      <x:c r="B10" s="51" t="n">
        <x:f>'02_ZRODLO_MIESIACE'!D10</x:f>
        <x:v>309005.7045000001</x:v>
      </x:c>
      <x:c r="C10" s="49" t="n">
        <x:f>'01_ZALOZENIA'!$E$25</x:f>
        <x:v>0.02620672207004912</x:v>
      </x:c>
      <x:c r="D10" s="51" t="n">
        <x:f>B10*C10</x:f>
        <x:v>8098.02661589123</x:v>
      </x:c>
      <x:c r="E10" s="51" t="n">
        <x:f>B10-D10</x:f>
        <x:v>300907.67788410885</x:v>
      </x:c>
      <x:c r="F10" s="49" t="n">
        <x:f>'03_ZRODLO_KATEGORIE'!$H$10</x:f>
        <x:v>0.6234250979853875</x:v>
      </x:c>
      <x:c r="G10" s="51" t="n">
        <x:f>E10*F10</x:f>
        <x:v>187593.39856945598</x:v>
      </x:c>
      <x:c r="H10" s="51" t="n">
        <x:f>E10-G10</x:f>
        <x:v>113314.27931465287</x:v>
      </x:c>
      <x:c r="I10" s="49" t="n">
        <x:f>IFERROR(H10/E10,0)</x:f>
        <x:v>0.3765749020146125</x:v>
      </x:c>
      <x:c r="J10" s="51" t="n">
        <x:f>'02_ZRODLO_MIESIACE'!G10</x:f>
        <x:v>449612.97</x:v>
      </x:c>
      <x:c r="K10" s="51" t="n">
        <x:f>B10-J10</x:f>
        <x:v>-140607.26549999986</x:v>
      </x:c>
      <x:c r="L10" s="49" t="n">
        <x:f>IFERROR(B10/J10,0)</x:f>
        <x:v>0.687270441731252</x:v>
      </x:c>
      <x:c r="M10" s="27" t="str">
        <x:f>IF(ABS(K10/J10)&lt;='01_ZALOZENIA'!$E$24,"W tolerancji",IF(K10&gt;0,"Powyżej budżetu","Poniżej budżetu"))</x:f>
        <x:v>Poniżej budżetu</x:v>
      </x:c>
    </x:row>
    <x:row r="11">
      <x:c r="A11" s="59" t="n">
        <x:f>'02_ZRODLO_MIESIACE'!A11</x:f>
        <x:v>45839</x:v>
      </x:c>
      <x:c r="B11" s="53" t="n">
        <x:f>'02_ZRODLO_MIESIACE'!D11</x:f>
        <x:v>335508.3610000001</x:v>
      </x:c>
      <x:c r="C11" s="47" t="n">
        <x:f>'01_ZALOZENIA'!$E$25</x:f>
        <x:v>0.02620672207004912</x:v>
      </x:c>
      <x:c r="D11" s="53" t="n">
        <x:f>B11*C11</x:f>
        <x:v>8792.57436890471</x:v>
      </x:c>
      <x:c r="E11" s="53" t="n">
        <x:f>B11-D11</x:f>
        <x:v>326715.7866310954</x:v>
      </x:c>
      <x:c r="F11" s="47" t="n">
        <x:f>'03_ZRODLO_KATEGORIE'!$H$10</x:f>
        <x:v>0.6234250979853875</x:v>
      </x:c>
      <x:c r="G11" s="53" t="n">
        <x:f>E11*F11</x:f>
        <x:v>203682.82129386358</x:v>
      </x:c>
      <x:c r="H11" s="53" t="n">
        <x:f>E11-G11</x:f>
        <x:v>123032.96533723181</x:v>
      </x:c>
      <x:c r="I11" s="47" t="n">
        <x:f>IFERROR(H11/E11,0)</x:f>
        <x:v>0.3765749020146126</x:v>
      </x:c>
      <x:c r="J11" s="53" t="n">
        <x:f>'02_ZRODLO_MIESIACE'!G11</x:f>
        <x:v>480450.33999999997</x:v>
      </x:c>
      <x:c r="K11" s="53" t="n">
        <x:f>B11-J11</x:f>
        <x:v>-144941.97899999988</x:v>
      </x:c>
      <x:c r="L11" s="47" t="n">
        <x:f>IFERROR(B11/J11,0)</x:f>
        <x:v>0.6983205818940624</x:v>
      </x:c>
      <x:c r="M11" s="24" t="str">
        <x:f>IF(ABS(K11/J11)&lt;='01_ZALOZENIA'!$E$24,"W tolerancji",IF(K11&gt;0,"Powyżej budżetu","Poniżej budżetu"))</x:f>
        <x:v>Poniżej budżetu</x:v>
      </x:c>
    </x:row>
    <x:row r="12">
      <x:c r="A12" s="60" t="n">
        <x:f>'02_ZRODLO_MIESIACE'!A12</x:f>
        <x:v>45870</x:v>
      </x:c>
      <x:c r="B12" s="51" t="n">
        <x:f>'02_ZRODLO_MIESIACE'!D12</x:f>
        <x:v>305194.6069999999</x:v>
      </x:c>
      <x:c r="C12" s="49" t="n">
        <x:f>'01_ZALOZENIA'!$E$25</x:f>
        <x:v>0.02620672207004912</x:v>
      </x:c>
      <x:c r="D12" s="51" t="n">
        <x:f>B12*C12</x:f>
        <x:v>7998.150242926866</x:v>
      </x:c>
      <x:c r="E12" s="51" t="n">
        <x:f>B12-D12</x:f>
        <x:v>297196.45675707306</x:v>
      </x:c>
      <x:c r="F12" s="49" t="n">
        <x:f>'03_ZRODLO_KATEGORIE'!$H$10</x:f>
        <x:v>0.6234250979853875</x:v>
      </x:c>
      <x:c r="G12" s="51" t="n">
        <x:f>E12*F12</x:f>
        <x:v>185279.73017468824</x:v>
      </x:c>
      <x:c r="H12" s="51" t="n">
        <x:f>E12-G12</x:f>
        <x:v>111916.72658238481</x:v>
      </x:c>
      <x:c r="I12" s="49" t="n">
        <x:f>IFERROR(H12/E12,0)</x:f>
        <x:v>0.3765749020146125</x:v>
      </x:c>
      <x:c r="J12" s="51" t="n">
        <x:f>'02_ZRODLO_MIESIACE'!G12</x:f>
        <x:v>470244.22</x:v>
      </x:c>
      <x:c r="K12" s="51" t="n">
        <x:f>B12-J12</x:f>
        <x:v>-165049.61300000007</x:v>
      </x:c>
      <x:c r="L12" s="49" t="n">
        <x:f>IFERROR(B12/J12,0)</x:f>
        <x:v>0.6490129894632196</x:v>
      </x:c>
      <x:c r="M12" s="27" t="str">
        <x:f>IF(ABS(K12/J12)&lt;='01_ZALOZENIA'!$E$24,"W tolerancji",IF(K12&gt;0,"Powyżej budżetu","Poniżej budżetu"))</x:f>
        <x:v>Poniżej budżetu</x:v>
      </x:c>
    </x:row>
    <x:row r="13">
      <x:c r="A13" s="59" t="n">
        <x:f>'02_ZRODLO_MIESIACE'!A13</x:f>
        <x:v>45901</x:v>
      </x:c>
      <x:c r="B13" s="53" t="n">
        <x:f>'02_ZRODLO_MIESIACE'!D13</x:f>
        <x:v>353042.4815</x:v>
      </x:c>
      <x:c r="C13" s="47" t="n">
        <x:f>'01_ZALOZENIA'!$E$25</x:f>
        <x:v>0.02620672207004912</x:v>
      </x:c>
      <x:c r="D13" s="53" t="n">
        <x:f>B13*C13</x:f>
        <x:v>9252.086191590959</x:v>
      </x:c>
      <x:c r="E13" s="53" t="n">
        <x:f>B13-D13</x:f>
        <x:v>343790.39530840906</x:v>
      </x:c>
      <x:c r="F13" s="47" t="n">
        <x:f>'03_ZRODLO_KATEGORIE'!$H$10</x:f>
        <x:v>0.6234250979853875</x:v>
      </x:c>
      <x:c r="G13" s="53" t="n">
        <x:f>E13*F13</x:f>
        <x:v>214327.56088158002</x:v>
      </x:c>
      <x:c r="H13" s="53" t="n">
        <x:f>E13-G13</x:f>
        <x:v>129462.83442682904</x:v>
      </x:c>
      <x:c r="I13" s="47" t="n">
        <x:f>IFERROR(H13/E13,0)</x:f>
        <x:v>0.3765749020146125</x:v>
      </x:c>
      <x:c r="J13" s="53" t="n">
        <x:f>'02_ZRODLO_MIESIACE'!G13</x:f>
        <x:v>467088.18</x:v>
      </x:c>
      <x:c r="K13" s="53" t="n">
        <x:f>B13-J13</x:f>
        <x:v>-114045.6985</x:v>
      </x:c>
      <x:c r="L13" s="47" t="n">
        <x:f>IFERROR(B13/J13,0)</x:f>
        <x:v>0.7558368989341584</x:v>
      </x:c>
      <x:c r="M13" s="24" t="str">
        <x:f>IF(ABS(K13/J13)&lt;='01_ZALOZENIA'!$E$24,"W tolerancji",IF(K13&gt;0,"Powyżej budżetu","Poniżej budżetu"))</x:f>
        <x:v>Poniżej budżetu</x:v>
      </x:c>
    </x:row>
    <x:row r="14">
      <x:c r="A14" s="60" t="n">
        <x:f>'02_ZRODLO_MIESIACE'!A14</x:f>
        <x:v>45931</x:v>
      </x:c>
      <x:c r="B14" s="51" t="n">
        <x:f>'02_ZRODLO_MIESIACE'!D14</x:f>
        <x:v>294165.55499999993</x:v>
      </x:c>
      <x:c r="C14" s="49" t="n">
        <x:f>'01_ZALOZENIA'!$E$25</x:f>
        <x:v>0.02620672207004912</x:v>
      </x:c>
      <x:c r="D14" s="51" t="n">
        <x:f>B14*C14</x:f>
        <x:v>7709.1149424667465</x:v>
      </x:c>
      <x:c r="E14" s="51" t="n">
        <x:f>B14-D14</x:f>
        <x:v>286456.4400575332</x:v>
      </x:c>
      <x:c r="F14" s="49" t="n">
        <x:f>'03_ZRODLO_KATEGORIE'!$H$10</x:f>
        <x:v>0.6234250979853875</x:v>
      </x:c>
      <x:c r="G14" s="51" t="n">
        <x:f>E14*F14</x:f>
        <x:v>178584.13421141292</x:v>
      </x:c>
      <x:c r="H14" s="51" t="n">
        <x:f>E14-G14</x:f>
        <x:v>107872.30584612029</x:v>
      </x:c>
      <x:c r="I14" s="49" t="n">
        <x:f>IFERROR(H14/E14,0)</x:f>
        <x:v>0.3765749020146125</x:v>
      </x:c>
      <x:c r="J14" s="51" t="n">
        <x:f>'02_ZRODLO_MIESIACE'!G14</x:f>
        <x:v>446708.17</x:v>
      </x:c>
      <x:c r="K14" s="51" t="n">
        <x:f>B14-J14</x:f>
        <x:v>-152542.61500000005</x:v>
      </x:c>
      <x:c r="L14" s="49" t="n">
        <x:f>IFERROR(B14/J14,0)</x:f>
        <x:v>0.6585184125913792</x:v>
      </x:c>
      <x:c r="M14" s="27" t="str">
        <x:f>IF(ABS(K14/J14)&lt;='01_ZALOZENIA'!$E$24,"W tolerancji",IF(K14&gt;0,"Powyżej budżetu","Poniżej budżetu"))</x:f>
        <x:v>Poniżej budżetu</x:v>
      </x:c>
    </x:row>
    <x:row r="15">
      <x:c r="A15" s="59" t="n">
        <x:f>'02_ZRODLO_MIESIACE'!A15</x:f>
        <x:v>45962</x:v>
      </x:c>
      <x:c r="B15" s="53" t="n">
        <x:f>'02_ZRODLO_MIESIACE'!D15</x:f>
        <x:v>305524.7095000001</x:v>
      </x:c>
      <x:c r="C15" s="47" t="n">
        <x:f>'01_ZALOZENIA'!$E$25</x:f>
        <x:v>0.02620672207004912</x:v>
      </x:c>
      <x:c r="D15" s="53" t="n">
        <x:f>B15*C15</x:f>
        <x:v>8006.801147398999</x:v>
      </x:c>
      <x:c r="E15" s="53" t="n">
        <x:f>B15-D15</x:f>
        <x:v>297517.9083526011</x:v>
      </x:c>
      <x:c r="F15" s="47" t="n">
        <x:f>'03_ZRODLO_KATEGORIE'!$H$10</x:f>
        <x:v>0.6234250979853875</x:v>
      </x:c>
      <x:c r="G15" s="53" t="n">
        <x:f>E15*F15</x:f>
        <x:v>185480.13116712787</x:v>
      </x:c>
      <x:c r="H15" s="53" t="n">
        <x:f>E15-G15</x:f>
        <x:v>112037.77718547324</x:v>
      </x:c>
      <x:c r="I15" s="47" t="n">
        <x:f>IFERROR(H15/E15,0)</x:f>
        <x:v>0.3765749020146126</x:v>
      </x:c>
      <x:c r="J15" s="53" t="n">
        <x:f>'02_ZRODLO_MIESIACE'!G15</x:f>
        <x:v>596741.74</x:v>
      </x:c>
      <x:c r="K15" s="53" t="n">
        <x:f>B15-J15</x:f>
        <x:v>-291217.0304999999</x:v>
      </x:c>
      <x:c r="L15" s="47" t="n">
        <x:f>IFERROR(B15/J15,0)</x:f>
        <x:v>0.5119881667737874</x:v>
      </x:c>
      <x:c r="M15" s="24" t="str">
        <x:f>IF(ABS(K15/J15)&lt;='01_ZALOZENIA'!$E$24,"W tolerancji",IF(K15&gt;0,"Powyżej budżetu","Poniżej budżetu"))</x:f>
        <x:v>Poniżej budżetu</x:v>
      </x:c>
    </x:row>
    <x:row r="16">
      <x:c r="A16" s="60" t="n">
        <x:f>'02_ZRODLO_MIESIACE'!A16</x:f>
        <x:v>45992</x:v>
      </x:c>
      <x:c r="B16" s="51" t="n">
        <x:f>'02_ZRODLO_MIESIACE'!D16</x:f>
        <x:v>224186.094</x:v>
      </x:c>
      <x:c r="C16" s="49" t="n">
        <x:f>'01_ZALOZENIA'!$E$25</x:f>
        <x:v>0.02620672207004912</x:v>
      </x:c>
      <x:c r="D16" s="51" t="n">
        <x:f>B16*C16</x:f>
        <x:v>5875.1826574279075</x:v>
      </x:c>
      <x:c r="E16" s="51" t="n">
        <x:f>B16-D16</x:f>
        <x:v>218310.9113425721</x:v>
      </x:c>
      <x:c r="F16" s="49" t="n">
        <x:f>'03_ZRODLO_KATEGORIE'!$H$10</x:f>
        <x:v>0.6234250979853875</x:v>
      </x:c>
      <x:c r="G16" s="51" t="n">
        <x:f>E16*F16</x:f>
        <x:v>136100.50129502226</x:v>
      </x:c>
      <x:c r="H16" s="51" t="n">
        <x:f>E16-G16</x:f>
        <x:v>82210.41004754984</x:v>
      </x:c>
      <x:c r="I16" s="49" t="n">
        <x:f>IFERROR(H16/E16,0)</x:f>
        <x:v>0.37657490201461247</x:v>
      </x:c>
      <x:c r="J16" s="51" t="n">
        <x:f>'02_ZRODLO_MIESIACE'!G16</x:f>
        <x:v>579022.69</x:v>
      </x:c>
      <x:c r="K16" s="51" t="n">
        <x:f>B16-J16</x:f>
        <x:v>-354836.5959999999</x:v>
      </x:c>
      <x:c r="L16" s="49" t="n">
        <x:f>IFERROR(B16/J16,0)</x:f>
        <x:v>0.3871801535100464</x:v>
      </x:c>
      <x:c r="M16" s="27" t="str">
        <x:f>IF(ABS(K16/J16)&lt;='01_ZALOZENIA'!$E$24,"W tolerancji",IF(K16&gt;0,"Powyżej budżetu","Poniżej budżetu"))</x:f>
        <x:v>Poniżej budżetu</x:v>
      </x:c>
    </x:row>
    <x:row r="17">
      <x:c r="A17" s="55" t="str">
        <x:v>Poza osią miesięczną</x:v>
      </x:c>
      <x:c r="B17" s="61" t="n">
        <x:f>'02_ZRODLO_MIESIACE'!D17</x:f>
        <x:v>3228.109000000877</x:v>
      </x:c>
      <x:c r="C17" s="63" t="n">
        <x:f>'01_ZALOZENIA'!$E$25</x:f>
        <x:v>0.02620672207004912</x:v>
      </x:c>
      <x:c r="D17" s="61" t="n">
        <x:f>B17*C17</x:f>
        <x:v>84.59815537484718</x:v>
      </x:c>
      <x:c r="E17" s="61" t="n">
        <x:f>B17-D17</x:f>
        <x:v>3143.51084462603</x:v>
      </x:c>
      <x:c r="F17" s="63" t="n">
        <x:f>'03_ZRODLO_KATEGORIE'!$H$10</x:f>
        <x:v>0.6234250979853875</x:v>
      </x:c>
      <x:c r="G17" s="61" t="n">
        <x:f>E17*F17</x:f>
        <x:v>1959.743556329111</x:v>
      </x:c>
      <x:c r="H17" s="61" t="n">
        <x:f>E17-G17</x:f>
        <x:v>1183.767288296919</x:v>
      </x:c>
      <x:c r="I17" s="63" t="n">
        <x:f>IFERROR(H17/E17,0)</x:f>
        <x:v>0.3765749020146125</x:v>
      </x:c>
      <x:c r="J17" s="61" t="n">
        <x:f>'02_ZRODLO_MIESIACE'!G17</x:f>
        <x:v>0</x:v>
      </x:c>
      <x:c r="K17" s="61" t="n">
        <x:f>B17-J17</x:f>
        <x:v>3228.109000000877</x:v>
      </x:c>
      <x:c r="L17" s="63" t="n">
        <x:f>IFERROR(B17/J17,0)</x:f>
        <x:v>0</x:v>
      </x:c>
      <x:c r="M17" s="55" t="str">
        <x:v>Poza osią miesięczną</x:v>
      </x:c>
    </x:row>
    <x:row r="18">
      <x:c r="A18" s="219" t="str">
        <x:v>RAZEM</x:v>
      </x:c>
      <x:c r="B18" s="220" t="n">
        <x:f>SUM(B5:B17)</x:f>
        <x:v>3514692.0275000003</x:v>
      </x:c>
      <x:c r="C18" s="221" t="n">
        <x:f>IFERROR(D18/B18,0)</x:f>
        <x:v>0.026206722070049128</x:v>
      </x:c>
      <x:c r="D18" s="220" t="n">
        <x:f>SUM(D5:D17)</x:f>
        <x:v>92108.55712650997</x:v>
      </x:c>
      <x:c r="E18" s="220" t="n">
        <x:f>SUM(E5:E17)</x:f>
        <x:v>3422583.470373491</x:v>
      </x:c>
      <x:c r="F18" s="221" t="n">
        <x:f>IFERROR(G18/E18,0)</x:f>
        <x:v>0.6234250979853875</x:v>
      </x:c>
      <x:c r="G18" s="220" t="n">
        <x:f>SUM(G5:G17)</x:f>
        <x:v>2133724.435380761</x:v>
      </x:c>
      <x:c r="H18" s="220" t="n">
        <x:f>SUM(H5:H17)</x:f>
        <x:v>1288859.0349927298</x:v>
      </x:c>
      <x:c r="I18" s="221" t="n">
        <x:f>IFERROR(H18/E18,0)</x:f>
        <x:v>0.3765749020146125</x:v>
      </x:c>
      <x:c r="J18" s="220" t="n">
        <x:f>SUM(J5:J17)</x:f>
        <x:v>5462374.780000001</x:v>
      </x:c>
      <x:c r="K18" s="220" t="n">
        <x:f>SUM(K5:K17)</x:f>
        <x:v>-1947682.7524999988</x:v>
      </x:c>
      <x:c r="L18" s="221" t="n">
        <x:f>IFERROR(B18/J18,0)</x:f>
        <x:v>0.6434366313290572</x:v>
      </x:c>
      <x:c r="M18" s="219" t="str">
        <x:f>IF(ABS(K18/J18)&lt;='01_ZALOZENIA'!$E$24,"W tolerancji",IF(K18&gt;0,"Powyżej budżetu","Poniżej budżetu"))</x:f>
        <x:v>Poniżej budżetu</x:v>
      </x:c>
    </x:row>
  </x:sheetData>
  <x:mergeCells>
    <x:mergeCell ref="A1:M1"/>
    <x:mergeCell ref="A2:M2"/>
  </x:mergeCells>
  <x:conditionalFormatting sqref="M5:M18">
    <x:cfRule type="containsText" dxfId="0" priority="1" operator="containsText" text="Poniżej"/>
    <x:cfRule type="containsText" dxfId="1" priority="2" operator="containsText" text="Powyżej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7" hidden="0" customWidth="1"/>
    <x:col min="4" max="4" width="17" hidden="0" customWidth="1"/>
    <x:col min="5" max="5" width="13" hidden="0" customWidth="1"/>
    <x:col min="6" max="6" width="18" hidden="0" customWidth="1"/>
    <x:col min="7" max="7" width="18" hidden="0" customWidth="1"/>
    <x:col min="8" max="8" width="13" hidden="0" customWidth="1"/>
    <x:col min="9" max="9" width="15" hidden="0" customWidth="1"/>
    <x:col min="10" max="10" width="14" hidden="0" customWidth="1"/>
    <x:col min="11" max="11" width="21" hidden="0" customWidth="1"/>
    <x:col min="12" max="12" width="14" hidden="0" customWidth="1"/>
    <x:col min="13" max="13" width="18" hidden="0" customWidth="1"/>
    <x:col min="14" max="14" width="20" hidden="0" customWidth="1"/>
    <x:col min="15" max="15" width="15" hidden="0" customWidth="1"/>
  </x:cols>
  <x:sheetData>
    <x:row r="1">
      <x:c r="A1" s="216" t="str">
        <x:v>ANALIZA KATEGORII - WYKONANIE I PLAN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  <x:c r="O1" s="216"/>
    </x:row>
    <x:row r="2" ht="32" customHeight="1">
      <x:c r="A2" s="42" t="str">
        <x:v>Wykonanie 2025 jest rzeczywiste i uzgodnione do osi czasu. Plan 2026 zachowuje miks kategorii i wykorzystuje aktywne założenia wolumenu, ceny oraz inflacji kosztów zmiennych.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  <x:c r="O3" s="210"/>
    </x:row>
    <x:row r="4" ht="32" customHeight="1">
      <x:c r="A4" s="21" t="str">
        <x:v>Kategoria</x:v>
      </x:c>
      <x:c r="B4" s="21" t="str">
        <x:v>Przychód 2025</x:v>
      </x:c>
      <x:c r="C4" s="21" t="str">
        <x:v>KWS 2025</x:v>
      </x:c>
      <x:c r="D4" s="21" t="str">
        <x:v>Marża 2025</x:v>
      </x:c>
      <x:c r="E4" s="21" t="str">
        <x:v>Marża %</x:v>
      </x:c>
      <x:c r="F4" s="21" t="str">
        <x:v>Budżet 2025</x:v>
      </x:c>
      <x:c r="G4" s="21" t="str">
        <x:v>Odchylenie</x:v>
      </x:c>
      <x:c r="H4" s="21" t="str">
        <x:v>Realizacja</x:v>
      </x:c>
      <x:c r="I4" s="21" t="str">
        <x:v>Wsp. wolumenu</x:v>
      </x:c>
      <x:c r="J4" s="21" t="str">
        <x:v>Wsp. ceny</x:v>
      </x:c>
      <x:c r="K4" s="21" t="str">
        <x:v>Przychód plan 2026</x:v>
      </x:c>
      <x:c r="L4" s="21" t="str">
        <x:v>Inflacja KWS</x:v>
      </x:c>
      <x:c r="M4" s="21" t="str">
        <x:v>KWS plan 2026</x:v>
      </x:c>
      <x:c r="N4" s="21" t="str">
        <x:v>Marża plan 2026</x:v>
      </x:c>
      <x:c r="O4" s="21" t="str">
        <x:v>Marża plan %</x:v>
      </x:c>
    </x:row>
    <x:row r="5">
      <x:c r="A5" s="24" t="str">
        <x:f>'03_ZRODLO_KATEGORIE'!A5</x:f>
        <x:v>Dom i kuchnia</x:v>
      </x:c>
      <x:c r="B5" s="53" t="n">
        <x:f>'03_ZRODLO_KATEGORIE'!F5</x:f>
        <x:v>800604.7090000003</x:v>
      </x:c>
      <x:c r="C5" s="53" t="n">
        <x:f>'03_ZRODLO_KATEGORIE'!I5</x:f>
        <x:v>485154.4423986869</x:v>
      </x:c>
      <x:c r="D5" s="53" t="n">
        <x:f>B5-C5</x:f>
        <x:v>315450.2666013134</x:v>
      </x:c>
      <x:c r="E5" s="47" t="n">
        <x:f>IFERROR(D5/B5,0)</x:f>
        <x:v>0.3940150027287852</x:v>
      </x:c>
      <x:c r="F5" s="53" t="n">
        <x:f>'03_ZRODLO_KATEGORIE'!N5</x:f>
        <x:v>1299649.79</x:v>
      </x:c>
      <x:c r="G5" s="53" t="n">
        <x:f>B5-F5</x:f>
        <x:v>-499045.0809999998</x:v>
      </x:c>
      <x:c r="H5" s="47" t="n">
        <x:f>IFERROR(B5/F5,0)</x:f>
        <x:v>0.6160157260518622</x:v>
      </x:c>
      <x:c r="I5" s="47" t="n">
        <x:f>1+'01_ZALOZENIA'!$E$6+'01_ZALOZENIA'!$E$20</x:f>
        <x:v>1.03</x:v>
      </x:c>
      <x:c r="J5" s="47" t="n">
        <x:f>1+'01_ZALOZENIA'!$E$7+'01_ZALOZENIA'!$E$21</x:f>
        <x:v>1.04</x:v>
      </x:c>
      <x:c r="K5" s="53" t="n">
        <x:f>B5*I5*J5</x:f>
        <x:v>857607.7642808004</x:v>
      </x:c>
      <x:c r="L5" s="47" t="n">
        <x:f>'01_ZALOZENIA'!$E$8</x:f>
        <x:v>0.05</x:v>
      </x:c>
      <x:c r="M5" s="53" t="n">
        <x:f>C5*I5*(1+L5)</x:f>
        <x:v>524694.5294541799</x:v>
      </x:c>
      <x:c r="N5" s="53" t="n">
        <x:f>K5-M5</x:f>
        <x:v>332913.23482662044</x:v>
      </x:c>
      <x:c r="O5" s="47" t="n">
        <x:f>IFERROR(N5/K5,0)</x:f>
        <x:v>0.38818822390886965</x:v>
      </x:c>
    </x:row>
    <x:row r="6">
      <x:c r="A6" s="27" t="str">
        <x:f>'03_ZRODLO_KATEGORIE'!A6</x:f>
        <x:v>Biuro</x:v>
      </x:c>
      <x:c r="B6" s="51" t="n">
        <x:f>'03_ZRODLO_KATEGORIE'!F6</x:f>
        <x:v>712949.9060000001</x:v>
      </x:c>
      <x:c r="C6" s="51" t="n">
        <x:f>'03_ZRODLO_KATEGORIE'!I6</x:f>
        <x:v>434962.4365197081</x:v>
      </x:c>
      <x:c r="D6" s="51" t="n">
        <x:f>B6-C6</x:f>
        <x:v>277987.469480292</x:v>
      </x:c>
      <x:c r="E6" s="49" t="n">
        <x:f>IFERROR(D6/B6,0)</x:f>
        <x:v>0.3899116433578602</x:v>
      </x:c>
      <x:c r="F6" s="51" t="n">
        <x:f>'03_ZRODLO_KATEGORIE'!N6</x:f>
        <x:v>867434.0599999999</x:v>
      </x:c>
      <x:c r="G6" s="51" t="n">
        <x:f>B6-F6</x:f>
        <x:v>-154484.15399999986</x:v>
      </x:c>
      <x:c r="H6" s="49" t="n">
        <x:f>IFERROR(B6/F6,0)</x:f>
        <x:v>0.8219067464332679</x:v>
      </x:c>
      <x:c r="I6" s="49" t="n">
        <x:f>1+'01_ZALOZENIA'!$E$6+'01_ZALOZENIA'!$E$20</x:f>
        <x:v>1.03</x:v>
      </x:c>
      <x:c r="J6" s="49" t="n">
        <x:f>1+'01_ZALOZENIA'!$E$7+'01_ZALOZENIA'!$E$21</x:f>
        <x:v>1.04</x:v>
      </x:c>
      <x:c r="K6" s="51" t="n">
        <x:f>B6*I6*J6</x:f>
        <x:v>763711.9393072001</x:v>
      </x:c>
      <x:c r="L6" s="49" t="n">
        <x:f>'01_ZALOZENIA'!$E$8</x:f>
        <x:v>0.05</x:v>
      </x:c>
      <x:c r="M6" s="51" t="n">
        <x:f>C6*I6*(1+L6)</x:f>
        <x:v>470411.87509606435</x:v>
      </x:c>
      <x:c r="N6" s="51" t="n">
        <x:f>K6-M6</x:f>
        <x:v>293300.0642111358</x:v>
      </x:c>
      <x:c r="O6" s="49" t="n">
        <x:f>IFERROR(N6/K6,0)</x:f>
        <x:v>0.38404540915937807</x:v>
      </x:c>
    </x:row>
    <x:row r="7">
      <x:c r="A7" s="24" t="str">
        <x:f>'03_ZRODLO_KATEGORIE'!A7</x:f>
        <x:v>Elektronika</x:v>
      </x:c>
      <x:c r="B7" s="53" t="n">
        <x:f>'03_ZRODLO_KATEGORIE'!F7</x:f>
        <x:v>736996.1685000003</x:v>
      </x:c>
      <x:c r="C7" s="53" t="n">
        <x:f>'03_ZRODLO_KATEGORIE'!I7</x:f>
        <x:v>477626.5914310087</x:v>
      </x:c>
      <x:c r="D7" s="53" t="n">
        <x:f>B7-C7</x:f>
        <x:v>259369.57706899155</x:v>
      </x:c>
      <x:c r="E7" s="47" t="n">
        <x:f>IFERROR(D7/B7,0)</x:f>
        <x:v>0.35192798572736606</x:v>
      </x:c>
      <x:c r="F7" s="53" t="n">
        <x:f>'03_ZRODLO_KATEGORIE'!N7</x:f>
        <x:v>1638758.28</x:v>
      </x:c>
      <x:c r="G7" s="53" t="n">
        <x:f>B7-F7</x:f>
        <x:v>-901762.1114999998</x:v>
      </x:c>
      <x:c r="H7" s="47" t="n">
        <x:f>IFERROR(B7/F7,0)</x:f>
        <x:v>0.44972841784817724</x:v>
      </x:c>
      <x:c r="I7" s="47" t="n">
        <x:f>1+'01_ZALOZENIA'!$E$6+'01_ZALOZENIA'!$E$20</x:f>
        <x:v>1.03</x:v>
      </x:c>
      <x:c r="J7" s="47" t="n">
        <x:f>1+'01_ZALOZENIA'!$E$7+'01_ZALOZENIA'!$E$21</x:f>
        <x:v>1.04</x:v>
      </x:c>
      <x:c r="K7" s="53" t="n">
        <x:f>B7*I7*J7</x:f>
        <x:v>789470.2956972003</x:v>
      </x:c>
      <x:c r="L7" s="47" t="n">
        <x:f>'01_ZALOZENIA'!$E$8</x:f>
        <x:v>0.05</x:v>
      </x:c>
      <x:c r="M7" s="53" t="n">
        <x:f>C7*I7*(1+L7)</x:f>
        <x:v>516553.15863263595</x:v>
      </x:c>
      <x:c r="N7" s="53" t="n">
        <x:f>K7-M7</x:f>
        <x:v>272917.1370645644</x:v>
      </x:c>
      <x:c r="O7" s="47" t="n">
        <x:f>IFERROR(N7/K7,0)</x:f>
        <x:v>0.3456965240516677</x:v>
      </x:c>
    </x:row>
    <x:row r="8">
      <x:c r="A8" s="27" t="str">
        <x:f>'03_ZRODLO_KATEGORIE'!A8</x:f>
        <x:v>Sport i turystyka</x:v>
      </x:c>
      <x:c r="B8" s="51" t="n">
        <x:f>'03_ZRODLO_KATEGORIE'!F8</x:f>
        <x:v>668355.5160000006</x:v>
      </x:c>
      <x:c r="C8" s="51" t="n">
        <x:f>'03_ZRODLO_KATEGORIE'!I8</x:f>
        <x:v>416530.2155412266</x:v>
      </x:c>
      <x:c r="D8" s="51" t="n">
        <x:f>B8-C8</x:f>
        <x:v>251825.30045877403</x:v>
      </x:c>
      <x:c r="E8" s="49" t="n">
        <x:f>IFERROR(D8/B8,0)</x:f>
        <x:v>0.3767834549580852</x:v>
      </x:c>
      <x:c r="F8" s="51" t="n">
        <x:f>'03_ZRODLO_KATEGORIE'!N8</x:f>
        <x:v>838762.86</x:v>
      </x:c>
      <x:c r="G8" s="51" t="n">
        <x:f>B8-F8</x:f>
        <x:v>-170407.34399999934</x:v>
      </x:c>
      <x:c r="H8" s="49" t="n">
        <x:f>IFERROR(B8/F8,0)</x:f>
        <x:v>0.7968348956223463</x:v>
      </x:c>
      <x:c r="I8" s="49" t="n">
        <x:f>1+'01_ZALOZENIA'!$E$6+'01_ZALOZENIA'!$E$20</x:f>
        <x:v>1.03</x:v>
      </x:c>
      <x:c r="J8" s="49" t="n">
        <x:f>1+'01_ZALOZENIA'!$E$7+'01_ZALOZENIA'!$E$21</x:f>
        <x:v>1.04</x:v>
      </x:c>
      <x:c r="K8" s="51" t="n">
        <x:f>B8*I8*J8</x:f>
        <x:v>715942.4287392008</x:v>
      </x:c>
      <x:c r="L8" s="49" t="n">
        <x:f>'01_ZALOZENIA'!$E$8</x:f>
        <x:v>0.05</x:v>
      </x:c>
      <x:c r="M8" s="51" t="n">
        <x:f>C8*I8*(1+L8)</x:f>
        <x:v>450477.42810783663</x:v>
      </x:c>
      <x:c r="N8" s="51" t="n">
        <x:f>K8-M8</x:f>
        <x:v>265465.0006313642</x:v>
      </x:c>
      <x:c r="O8" s="49" t="n">
        <x:f>IFERROR(N8/K8,0)</x:f>
        <x:v>0.37079098817883605</x:v>
      </x:c>
    </x:row>
    <x:row r="9">
      <x:c r="A9" s="24" t="str">
        <x:f>'03_ZRODLO_KATEGORIE'!A9</x:f>
        <x:v>Uroda i zdrowie</x:v>
      </x:c>
      <x:c r="B9" s="53" t="n">
        <x:f>'03_ZRODLO_KATEGORIE'!F9</x:f>
        <x:v>595785.7279999999</x:v>
      </x:c>
      <x:c r="C9" s="53" t="n">
        <x:f>'03_ZRODLO_KATEGORIE'!I9</x:f>
        <x:v>376873.5357420179</x:v>
      </x:c>
      <x:c r="D9" s="53" t="n">
        <x:f>B9-C9</x:f>
        <x:v>218912.19225798198</x:v>
      </x:c>
      <x:c r="E9" s="47" t="n">
        <x:f>IFERROR(D9/B9,0)</x:f>
        <x:v>0.3674344348476606</x:v>
      </x:c>
      <x:c r="F9" s="53" t="n">
        <x:f>'03_ZRODLO_KATEGORIE'!N9</x:f>
        <x:v>817769.7899999999</x:v>
      </x:c>
      <x:c r="G9" s="53" t="n">
        <x:f>B9-F9</x:f>
        <x:v>-221984.06200000003</x:v>
      </x:c>
      <x:c r="H9" s="47" t="n">
        <x:f>IFERROR(B9/F9,0)</x:f>
        <x:v>0.728549446660288</x:v>
      </x:c>
      <x:c r="I9" s="47" t="n">
        <x:f>1+'01_ZALOZENIA'!$E$6+'01_ZALOZENIA'!$E$20</x:f>
        <x:v>1.03</x:v>
      </x:c>
      <x:c r="J9" s="47" t="n">
        <x:f>1+'01_ZALOZENIA'!$E$7+'01_ZALOZENIA'!$E$21</x:f>
        <x:v>1.04</x:v>
      </x:c>
      <x:c r="K9" s="53" t="n">
        <x:f>B9*I9*J9</x:f>
        <x:v>638205.6718335999</x:v>
      </x:c>
      <x:c r="L9" s="47" t="n">
        <x:f>'01_ZALOZENIA'!$E$8</x:f>
        <x:v>0.05</x:v>
      </x:c>
      <x:c r="M9" s="53" t="n">
        <x:f>C9*I9*(1+L9)</x:f>
        <x:v>407588.7289049924</x:v>
      </x:c>
      <x:c r="N9" s="53" t="n">
        <x:f>K9-M9</x:f>
        <x:v>230616.94292860752</x:v>
      </x:c>
      <x:c r="O9" s="47" t="n">
        <x:f>IFERROR(N9/K9,0)</x:f>
        <x:v>0.3613520736442727</x:v>
      </x:c>
    </x:row>
    <x:row r="10">
      <x:c r="A10" s="219" t="str">
        <x:v>RAZEM</x:v>
      </x:c>
      <x:c r="B10" s="220" t="n">
        <x:f>SUM(B5:B9)</x:f>
        <x:v>3514692.027500001</x:v>
      </x:c>
      <x:c r="C10" s="220" t="n">
        <x:f>SUM(C5:C9)</x:f>
        <x:v>2191147.2216326483</x:v>
      </x:c>
      <x:c r="D10" s="220" t="n">
        <x:f>SUM(D5:D9)</x:f>
        <x:v>1323544.8058673528</x:v>
      </x:c>
      <x:c r="E10" s="221" t="n">
        <x:f>IFERROR(D10/B10,0)</x:f>
        <x:v>0.3765749020146126</x:v>
      </x:c>
      <x:c r="F10" s="220" t="n">
        <x:f>SUM(F5:F9)</x:f>
        <x:v>5462374.78</x:v>
      </x:c>
      <x:c r="G10" s="220" t="n">
        <x:f>SUM(G5:G9)</x:f>
        <x:v>-1947682.752499999</x:v>
      </x:c>
      <x:c r="H10" s="221" t="n">
        <x:f>IFERROR(B10/F10,0)</x:f>
        <x:v>0.6434366313290574</x:v>
      </x:c>
      <x:c r="I10" s="221" t="n">
        <x:f>I5</x:f>
        <x:v>1.03</x:v>
      </x:c>
      <x:c r="J10" s="221" t="n">
        <x:f>J5</x:f>
        <x:v>1.04</x:v>
      </x:c>
      <x:c r="K10" s="220" t="n">
        <x:f>SUM(K5:K9)</x:f>
        <x:v>3764938.0998580013</x:v>
      </x:c>
      <x:c r="L10" s="221" t="n">
        <x:f>L5</x:f>
        <x:v>0.05</x:v>
      </x:c>
      <x:c r="M10" s="220" t="n">
        <x:f>SUM(M5:M9)</x:f>
        <x:v>2369725.7201957093</x:v>
      </x:c>
      <x:c r="N10" s="220" t="n">
        <x:f>SUM(N5:N9)</x:f>
        <x:v>1395212.3796622923</x:v>
      </x:c>
      <x:c r="O10" s="221" t="n">
        <x:f>IFERROR(N10/K10,0)</x:f>
        <x:v>0.37058042991859924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20" hidden="0" customWidth="1"/>
    <x:col min="5" max="5" width="18" hidden="0" customWidth="1"/>
    <x:col min="6" max="6" width="13" hidden="0" customWidth="1"/>
    <x:col min="7" max="7" width="18" hidden="0" customWidth="1"/>
    <x:col min="8" max="8" width="18" hidden="0" customWidth="1"/>
    <x:col min="9" max="9" width="13" hidden="0" customWidth="1"/>
    <x:col min="10" max="10" width="18" hidden="0" customWidth="1"/>
    <x:col min="11" max="11" width="20" hidden="0" customWidth="1"/>
    <x:col min="12" max="12" width="19" hidden="0" customWidth="1"/>
    <x:col min="13" max="13" width="18" hidden="0" customWidth="1"/>
    <x:col min="14" max="14" width="15" hidden="0" customWidth="1"/>
  </x:cols>
  <x:sheetData>
    <x:row r="1">
      <x:c r="A1" s="216" t="str">
        <x:v>ANALIZA KANAŁÓW - WYKONANIE I PLAN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Liczba zamówień i średnia wartość zamówienia pochodzą z rzeczywistych agregatów kanałów po wyłączeniu rekordów kontroli.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Kanał</x:v>
      </x:c>
      <x:c r="B4" s="21" t="str">
        <x:v>Przychód 2025</x:v>
      </x:c>
      <x:c r="C4" s="21" t="str">
        <x:v>Zamówienia</x:v>
      </x:c>
      <x:c r="D4" s="21" t="str">
        <x:v>Śr. wartość zam.</x:v>
      </x:c>
      <x:c r="E4" s="21" t="str">
        <x:v>Marża 2025</x:v>
      </x:c>
      <x:c r="F4" s="21" t="str">
        <x:v>Marża %</x:v>
      </x:c>
      <x:c r="G4" s="21" t="str">
        <x:v>Budżet 2025</x:v>
      </x:c>
      <x:c r="H4" s="21" t="str">
        <x:v>Odchylenie</x:v>
      </x:c>
      <x:c r="I4" s="21" t="str">
        <x:v>Realizacja</x:v>
      </x:c>
      <x:c r="J4" s="21" t="str">
        <x:v>Zamówienia plan</x:v>
      </x:c>
      <x:c r="K4" s="21" t="str">
        <x:v>Śr. wartość plan</x:v>
      </x:c>
      <x:c r="L4" s="21" t="str">
        <x:v>Przychód plan</x:v>
      </x:c>
      <x:c r="M4" s="21" t="str">
        <x:v>Marża plan</x:v>
      </x:c>
      <x:c r="N4" s="21" t="str">
        <x:v>Marża plan %</x:v>
      </x:c>
    </x:row>
    <x:row r="5">
      <x:c r="A5" s="24" t="str">
        <x:f>'04_ZRODLO_KANALY'!A5</x:f>
        <x:v>Marketplace</x:v>
      </x:c>
      <x:c r="B5" s="53" t="n">
        <x:f>'04_ZRODLO_KANALY'!F5</x:f>
        <x:v>662934.3545000001</x:v>
      </x:c>
      <x:c r="C5" s="65" t="n">
        <x:f>'04_ZRODLO_KANALY'!I5</x:f>
        <x:v>273</x:v>
      </x:c>
      <x:c r="D5" s="53" t="n">
        <x:f>IFERROR(B5/C5,0)</x:f>
        <x:v>2428.3309688644695</x:v>
      </x:c>
      <x:c r="E5" s="53" t="n">
        <x:f>'04_ZRODLO_KANALY'!M5</x:f>
        <x:v>256090.35668751036</x:v>
      </x:c>
      <x:c r="F5" s="47" t="n">
        <x:f>IFERROR(E5/B5,0)</x:f>
        <x:v>0.386298213313533</x:v>
      </x:c>
      <x:c r="G5" s="53" t="n">
        <x:f>'04_ZRODLO_KANALY'!P5</x:f>
        <x:v>1205491.3800000001</x:v>
      </x:c>
      <x:c r="H5" s="53" t="n">
        <x:f>B5-G5</x:f>
        <x:v>-542557.0255</x:v>
      </x:c>
      <x:c r="I5" s="47" t="n">
        <x:f>IFERROR(B5/G5,0)</x:f>
        <x:v>0.5499287390176113</x:v>
      </x:c>
      <x:c r="J5" s="65" t="n">
        <x:f>C5*(1+'01_ZALOZENIA'!$E$6+'01_ZALOZENIA'!$E$20)</x:f>
        <x:v>281.19</x:v>
      </x:c>
      <x:c r="K5" s="53" t="n">
        <x:f>D5*(1+'01_ZALOZENIA'!$E$7+'01_ZALOZENIA'!$E$21)</x:f>
        <x:v>2525.4642076190485</x:v>
      </x:c>
      <x:c r="L5" s="53" t="n">
        <x:f>J5*K5</x:f>
        <x:v>710135.2805404002</x:v>
      </x:c>
      <x:c r="M5" s="53" t="n">
        <x:f>L5-(B5-E5)*(J5/C5)*(1+'01_ZALOZENIA'!$E$8)</x:f>
        <x:v>270133.4969061925</x:v>
      </x:c>
      <x:c r="N5" s="47" t="n">
        <x:f>IFERROR(M5/L5,0)</x:f>
        <x:v>0.38039723459539393</x:v>
      </x:c>
    </x:row>
    <x:row r="6">
      <x:c r="A6" s="27" t="str">
        <x:f>'04_ZRODLO_KANALY'!A6</x:f>
        <x:v>Sklep online</x:v>
      </x:c>
      <x:c r="B6" s="51" t="n">
        <x:f>'04_ZRODLO_KANALY'!F6</x:f>
        <x:v>1447087.3649999984</x:v>
      </x:c>
      <x:c r="C6" s="66" t="n">
        <x:f>'04_ZRODLO_KANALY'!I6</x:f>
        <x:v>614</x:v>
      </x:c>
      <x:c r="D6" s="51" t="n">
        <x:f>IFERROR(B6/C6,0)</x:f>
        <x:v>2356.8198127035803</x:v>
      </x:c>
      <x:c r="E6" s="51" t="n">
        <x:f>'04_ZRODLO_KANALY'!M6</x:f>
        <x:v>546604.3636733554</x:v>
      </x:c>
      <x:c r="F6" s="49" t="n">
        <x:f>IFERROR(E6/B6,0)</x:f>
        <x:v>0.3777272726538913</x:v>
      </x:c>
      <x:c r="G6" s="51" t="n">
        <x:f>'04_ZRODLO_KANALY'!P6</x:f>
        <x:v>2691046.55</x:v>
      </x:c>
      <x:c r="H6" s="51" t="n">
        <x:f>B6-G6</x:f>
        <x:v>-1243959.1850000015</x:v>
      </x:c>
      <x:c r="I6" s="49" t="n">
        <x:f>IFERROR(B6/G6,0)</x:f>
        <x:v>0.5377414838847728</x:v>
      </x:c>
      <x:c r="J6" s="66" t="n">
        <x:f>C6*(1+'01_ZALOZENIA'!$E$6+'01_ZALOZENIA'!$E$20)</x:f>
        <x:v>632.4200000000001</x:v>
      </x:c>
      <x:c r="K6" s="51" t="n">
        <x:f>D6*(1+'01_ZALOZENIA'!$E$7+'01_ZALOZENIA'!$E$21)</x:f>
        <x:v>2451.0926052117234</x:v>
      </x:c>
      <x:c r="L6" s="51" t="n">
        <x:f>J6*K6</x:f>
        <x:v>1550119.9853879982</x:v>
      </x:c>
      <x:c r="M6" s="51" t="n">
        <x:f>L6-(B6-E6)*(J6/C6)*(1+'01_ZALOZENIA'!$E$8)</x:f>
        <x:v>576247.6194532337</x:v>
      </x:c>
      <x:c r="N6" s="49" t="n">
        <x:f>IFERROR(M6/L6,0)</x:f>
        <x:v>0.3717438810447939</x:v>
      </x:c>
    </x:row>
    <x:row r="7">
      <x:c r="A7" s="24" t="str">
        <x:f>'04_ZRODLO_KANALY'!A7</x:f>
        <x:v>Sklep stacjonarny</x:v>
      </x:c>
      <x:c r="B7" s="53" t="n">
        <x:f>'04_ZRODLO_KANALY'!F7</x:f>
        <x:v>549296.5900000003</x:v>
      </x:c>
      <x:c r="C7" s="65" t="n">
        <x:f>'04_ZRODLO_KANALY'!I7</x:f>
        <x:v>262</x:v>
      </x:c>
      <x:c r="D7" s="53" t="n">
        <x:f>IFERROR(B7/C7,0)</x:f>
        <x:v>2096.5518702290087</x:v>
      </x:c>
      <x:c r="E7" s="53" t="n">
        <x:f>'04_ZRODLO_KANALY'!M7</x:f>
        <x:v>212972.2511274828</x:v>
      </x:c>
      <x:c r="F7" s="47" t="n">
        <x:f>IFERROR(E7/B7,0)</x:f>
        <x:v>0.3877181380781604</x:v>
      </x:c>
      <x:c r="G7" s="53" t="n">
        <x:f>'04_ZRODLO_KANALY'!P7</x:f>
        <x:v>1190307.94</x:v>
      </x:c>
      <x:c r="H7" s="53" t="n">
        <x:f>B7-G7</x:f>
        <x:v>-641011.3499999996</x:v>
      </x:c>
      <x:c r="I7" s="47" t="n">
        <x:f>IFERROR(B7/G7,0)</x:f>
        <x:v>0.4614743559553172</x:v>
      </x:c>
      <x:c r="J7" s="65" t="n">
        <x:f>C7*(1+'01_ZALOZENIA'!$E$6+'01_ZALOZENIA'!$E$20)</x:f>
        <x:v>269.86</x:v>
      </x:c>
      <x:c r="K7" s="53" t="n">
        <x:f>D7*(1+'01_ZALOZENIA'!$E$7+'01_ZALOZENIA'!$E$21)</x:f>
        <x:v>2180.413945038169</x:v>
      </x:c>
      <x:c r="L7" s="53" t="n">
        <x:f>J7*K7</x:f>
        <x:v>588406.5072080003</x:v>
      </x:c>
      <x:c r="M7" s="53" t="n">
        <x:f>L7-(B7-E7)*(J7/C7)*(1+'01_ZALOZENIA'!$E$8)</x:f>
        <x:v>224671.73471737257</x:v>
      </x:c>
      <x:c r="N7" s="47" t="n">
        <x:f>IFERROR(M7/L7,0)</x:f>
        <x:v>0.381830812482758</x:v>
      </x:c>
    </x:row>
    <x:row r="8">
      <x:c r="A8" s="27" t="str">
        <x:f>'04_ZRODLO_KANALY'!A8</x:f>
        <x:v>Telefon/B2B</x:v>
      </x:c>
      <x:c r="B8" s="51" t="n">
        <x:f>'04_ZRODLO_KANALY'!F8</x:f>
        <x:v>855373.7180000001</x:v>
      </x:c>
      <x:c r="C8" s="66" t="n">
        <x:f>'04_ZRODLO_KANALY'!I8</x:f>
        <x:v>110</x:v>
      </x:c>
      <x:c r="D8" s="51" t="n">
        <x:f>IFERROR(B8/C8,0)</x:f>
        <x:v>7776.12470909091</x:v>
      </x:c>
      <x:c r="E8" s="51" t="n">
        <x:f>'04_ZRODLO_KANALY'!M8</x:f>
        <x:v>308632.1356888852</x:v>
      </x:c>
      <x:c r="F8" s="49" t="n">
        <x:f>IFERROR(E8/B8,0)</x:f>
        <x:v>0.3608155466952109</x:v>
      </x:c>
      <x:c r="G8" s="51" t="n">
        <x:f>'04_ZRODLO_KANALY'!P8</x:f>
        <x:v>375528.91</x:v>
      </x:c>
      <x:c r="H8" s="51" t="n">
        <x:f>B8-G8</x:f>
        <x:v>479844.80800000014</x:v>
      </x:c>
      <x:c r="I8" s="49" t="n">
        <x:f>IFERROR(B8/G8,0)</x:f>
        <x:v>2.2777839341317296</x:v>
      </x:c>
      <x:c r="J8" s="66" t="n">
        <x:f>C8*(1+'01_ZALOZENIA'!$E$6+'01_ZALOZENIA'!$E$20)</x:f>
        <x:v>113.3</x:v>
      </x:c>
      <x:c r="K8" s="51" t="n">
        <x:f>D8*(1+'01_ZALOZENIA'!$E$7+'01_ZALOZENIA'!$E$21)</x:f>
        <x:v>8087.169697454547</x:v>
      </x:c>
      <x:c r="L8" s="51" t="n">
        <x:f>J8*K8</x:f>
        <x:v>916276.3267216001</x:v>
      </x:c>
      <x:c r="M8" s="51" t="n">
        <x:f>L8-(B8-E8)*(J8/C8)*(1+'01_ZALOZENIA'!$E$8)</x:f>
        <x:v>324975.3054521292</x:v>
      </x:c>
      <x:c r="N8" s="49" t="n">
        <x:f>IFERROR(M8/L8,0)</x:f>
        <x:v>0.3546695423365109</x:v>
      </x:c>
    </x:row>
    <x:row r="9">
      <x:c r="A9" s="219" t="str">
        <x:v>RAZEM</x:v>
      </x:c>
      <x:c r="B9" s="220" t="n">
        <x:f>SUM(B5:B8)</x:f>
        <x:v>3514692.027499999</x:v>
      </x:c>
      <x:c r="C9" s="222" t="n">
        <x:f>SUM(C5:C8)</x:f>
        <x:v>1259</x:v>
      </x:c>
      <x:c r="D9" s="220" t="n">
        <x:f>IFERROR(B9/C9,0)</x:f>
        <x:v>2791.653715250198</x:v>
      </x:c>
      <x:c r="E9" s="220" t="n">
        <x:f>SUM(E5:E8)</x:f>
        <x:v>1324299.1071772338</x:v>
      </x:c>
      <x:c r="F9" s="221" t="n">
        <x:f>IFERROR(E9/B9,0)</x:f>
        <x:v>0.37678951578560016</x:v>
      </x:c>
      <x:c r="G9" s="220" t="n">
        <x:f>SUM(G5:G8)</x:f>
        <x:v>5462374.779999999</x:v>
      </x:c>
      <x:c r="H9" s="220" t="n">
        <x:f>SUM(H5:H8)</x:f>
        <x:v>-1947682.7525000009</x:v>
      </x:c>
      <x:c r="I9" s="221" t="n">
        <x:f>IFERROR(B9/G9,0)</x:f>
        <x:v>0.643436631329057</x:v>
      </x:c>
      <x:c r="J9" s="222" t="n">
        <x:f>SUM(J5:J8)</x:f>
        <x:v>1296.7700000000002</x:v>
      </x:c>
      <x:c r="K9" s="220" t="n">
        <x:f>IFERROR(L9/J9,0)</x:f>
        <x:v>2903.3198638602053</x:v>
      </x:c>
      <x:c r="L9" s="220" t="n">
        <x:f>SUM(L5:L8)</x:f>
        <x:v>3764938.099857999</x:v>
      </x:c>
      <x:c r="M9" s="220" t="n">
        <x:f>SUM(M5:M8)</x:f>
        <x:v>1396028.1565289279</x:v>
      </x:c>
      <x:c r="N9" s="221" t="n">
        <x:f>IFERROR(M9/L9,0)</x:f>
        <x:v>0.37079710728353843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8" hidden="0" customWidth="1"/>
    <x:col min="4" max="4" width="17" hidden="0" customWidth="1"/>
    <x:col min="5" max="5" width="18" hidden="0" customWidth="1"/>
    <x:col min="6" max="6" width="16" hidden="0" customWidth="1"/>
    <x:col min="7" max="7" width="18" hidden="0" customWidth="1"/>
    <x:col min="8" max="8" width="17" hidden="0" customWidth="1"/>
    <x:col min="9" max="9" width="15" hidden="0" customWidth="1"/>
  </x:cols>
  <x:sheetData>
    <x:row r="1">
      <x:c r="A1" s="216" t="str">
        <x:v>ZWROTY I REKLAMACJE</x:v>
      </x:c>
      <x:c r="B1" s="216"/>
      <x:c r="C1" s="216"/>
      <x:c r="D1" s="216"/>
      <x:c r="E1" s="216"/>
      <x:c r="F1" s="216"/>
      <x:c r="G1" s="216"/>
      <x:c r="H1" s="216"/>
      <x:c r="I1" s="216"/>
    </x:row>
    <x:row r="2" ht="32" customHeight="1">
      <x:c r="A2" s="42" t="str">
        <x:v>Rzeczywiste agregaty powodów zwrotów pomniejszone wyłącznie o pięć rekordów wskazanych przez KONTROLA_Zwroty.</x:v>
      </x:c>
      <x:c r="B2" s="42"/>
      <x:c r="C2" s="42"/>
      <x:c r="D2" s="42"/>
      <x:c r="E2" s="42"/>
      <x:c r="F2" s="42"/>
      <x:c r="G2" s="42"/>
      <x:c r="H2" s="42"/>
      <x:c r="I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</x:row>
    <x:row r="4" ht="32" customHeight="1">
      <x:c r="A4" s="21" t="str">
        <x:v>Powód</x:v>
      </x:c>
      <x:c r="B4" s="21" t="str">
        <x:v>Liczba źródłowa</x:v>
      </x:c>
      <x:c r="C4" s="21" t="str">
        <x:v>Kwota źródłowa</x:v>
      </x:c>
      <x:c r="D4" s="21" t="str">
        <x:v>Wyłączona liczba</x:v>
      </x:c>
      <x:c r="E4" s="21" t="str">
        <x:v>Wyłączona kwota</x:v>
      </x:c>
      <x:c r="F4" s="21" t="str">
        <x:v>Liczba czysta</x:v>
      </x:c>
      <x:c r="G4" s="21" t="str">
        <x:v>Kwota czysta</x:v>
      </x:c>
      <x:c r="H4" s="21" t="str">
        <x:v>Śr. kwota</x:v>
      </x:c>
      <x:c r="I4" s="21" t="str">
        <x:v>Udział kwoty</x:v>
      </x:c>
    </x:row>
    <x:row r="5">
      <x:c r="A5" s="24" t="str">
        <x:v>Zmiana decyzji</x:v>
      </x:c>
      <x:c r="B5" s="65" t="n">
        <x:v>34</x:v>
      </x:c>
      <x:c r="C5" s="53" t="n">
        <x:v>23982.500000000004</x:v>
      </x:c>
      <x:c r="D5" s="65" t="n">
        <x:v>0</x:v>
      </x:c>
      <x:c r="E5" s="53" t="n">
        <x:v>0</x:v>
      </x:c>
      <x:c r="F5" s="65" t="n">
        <x:v>34</x:v>
      </x:c>
      <x:c r="G5" s="53" t="n">
        <x:v>23982.500000000004</x:v>
      </x:c>
      <x:c r="H5" s="53" t="n">
        <x:f>IFERROR(G5/F5,0)</x:f>
        <x:v>705.3676470588236</x:v>
      </x:c>
      <x:c r="I5" s="47" t="n">
        <x:f>IFERROR(G5/$G$12,0)</x:f>
        <x:v>0.18474933792215795</x:v>
      </x:c>
    </x:row>
    <x:row r="6">
      <x:c r="A6" s="27" t="str">
        <x:v>Wadliwy produkt</x:v>
      </x:c>
      <x:c r="B6" s="66" t="n">
        <x:v>32</x:v>
      </x:c>
      <x:c r="C6" s="51" t="n">
        <x:v>20860.2</x:v>
      </x:c>
      <x:c r="D6" s="66" t="n">
        <x:v>1</x:v>
      </x:c>
      <x:c r="E6" s="51" t="n">
        <x:v>99.99</x:v>
      </x:c>
      <x:c r="F6" s="66" t="n">
        <x:v>31</x:v>
      </x:c>
      <x:c r="G6" s="51" t="n">
        <x:v>20760.21</x:v>
      </x:c>
      <x:c r="H6" s="51" t="n">
        <x:f>IFERROR(G6/F6,0)</x:f>
        <x:v>669.684193548387</x:v>
      </x:c>
      <x:c r="I6" s="49" t="n">
        <x:f>IFERROR(G6/$G$12,0)</x:f>
        <x:v>0.15992640686437867</x:v>
      </x:c>
    </x:row>
    <x:row r="7">
      <x:c r="A7" s="24" t="str">
        <x:v>Błędny rozmiar/model</x:v>
      </x:c>
      <x:c r="B7" s="65" t="n">
        <x:v>32</x:v>
      </x:c>
      <x:c r="C7" s="53" t="n">
        <x:v>23942.89</x:v>
      </x:c>
      <x:c r="D7" s="65" t="n">
        <x:v>1</x:v>
      </x:c>
      <x:c r="E7" s="53" t="n">
        <x:v>1427.94</x:v>
      </x:c>
      <x:c r="F7" s="65" t="n">
        <x:v>31</x:v>
      </x:c>
      <x:c r="G7" s="53" t="n">
        <x:v>22514.95</x:v>
      </x:c>
      <x:c r="H7" s="53" t="n">
        <x:f>IFERROR(G7/F7,0)</x:f>
        <x:v>726.2887096774194</x:v>
      </x:c>
      <x:c r="I7" s="47" t="n">
        <x:f>IFERROR(G7/$G$12,0)</x:f>
        <x:v>0.17344405736893523</x:v>
      </x:c>
    </x:row>
    <x:row r="8">
      <x:c r="A8" s="27" t="str">
        <x:v>Uszkodzone w transporcie</x:v>
      </x:c>
      <x:c r="B8" s="66" t="n">
        <x:v>30</x:v>
      </x:c>
      <x:c r="C8" s="51" t="n">
        <x:v>19267.420000000006</x:v>
      </x:c>
      <x:c r="D8" s="66" t="n">
        <x:v>1</x:v>
      </x:c>
      <x:c r="E8" s="51" t="n">
        <x:v>370.7</x:v>
      </x:c>
      <x:c r="F8" s="66" t="n">
        <x:v>29</x:v>
      </x:c>
      <x:c r="G8" s="51" t="n">
        <x:v>18896.720000000005</x:v>
      </x:c>
      <x:c r="H8" s="51" t="n">
        <x:f>IFERROR(G8/F8,0)</x:f>
        <x:v>651.6110344827588</x:v>
      </x:c>
      <x:c r="I8" s="49" t="n">
        <x:f>IFERROR(G8/$G$12,0)</x:f>
        <x:v>0.1455710000583926</x:v>
      </x:c>
    </x:row>
    <x:row r="9">
      <x:c r="A9" s="24" t="str">
        <x:v>Opóźniona dostawa</x:v>
      </x:c>
      <x:c r="B9" s="65" t="n">
        <x:v>29</x:v>
      </x:c>
      <x:c r="C9" s="53" t="n">
        <x:v>20408.26</x:v>
      </x:c>
      <x:c r="D9" s="65" t="n">
        <x:v>1</x:v>
      </x:c>
      <x:c r="E9" s="53" t="n">
        <x:v>236.34</x:v>
      </x:c>
      <x:c r="F9" s="65" t="n">
        <x:v>28</x:v>
      </x:c>
      <x:c r="G9" s="53" t="n">
        <x:v>20171.92</x:v>
      </x:c>
      <x:c r="H9" s="53" t="n">
        <x:f>IFERROR(G9/F9,0)</x:f>
        <x:v>720.4257142857142</x:v>
      </x:c>
      <x:c r="I9" s="47" t="n">
        <x:f>IFERROR(G9/$G$12,0)</x:f>
        <x:v>0.15539451119019015</x:v>
      </x:c>
    </x:row>
    <x:row r="10">
      <x:c r="A10" s="27" t="str">
        <x:v>Niezgodność z opisem</x:v>
      </x:c>
      <x:c r="B10" s="66" t="n">
        <x:v>19</x:v>
      </x:c>
      <x:c r="C10" s="51" t="n">
        <x:v>15222.570000000003</x:v>
      </x:c>
      <x:c r="D10" s="66" t="n">
        <x:v>1</x:v>
      </x:c>
      <x:c r="E10" s="51" t="n">
        <x:v>145.12</x:v>
      </x:c>
      <x:c r="F10" s="66" t="n">
        <x:v>18</x:v>
      </x:c>
      <x:c r="G10" s="51" t="n">
        <x:v>15077.450000000003</x:v>
      </x:c>
      <x:c r="H10" s="51" t="n">
        <x:f>IFERROR(G10/F10,0)</x:f>
        <x:v>837.6361111111113</x:v>
      </x:c>
      <x:c r="I10" s="49" t="n">
        <x:f>IFERROR(G10/$G$12,0)</x:f>
        <x:v>0.11614922985737268</x:v>
      </x:c>
    </x:row>
    <x:row r="11">
      <x:c r="A11" s="24" t="str">
        <x:v>Inne</x:v>
      </x:c>
      <x:c r="B11" s="65" t="n">
        <x:v>11</x:v>
      </x:c>
      <x:c r="C11" s="53" t="n">
        <x:v>8407.27</x:v>
      </x:c>
      <x:c r="D11" s="65" t="n">
        <x:v>0</x:v>
      </x:c>
      <x:c r="E11" s="53" t="n">
        <x:v>0</x:v>
      </x:c>
      <x:c r="F11" s="65" t="n">
        <x:v>11</x:v>
      </x:c>
      <x:c r="G11" s="53" t="n">
        <x:v>8407.27</x:v>
      </x:c>
      <x:c r="H11" s="53" t="n">
        <x:f>IFERROR(G11/F11,0)</x:f>
        <x:v>764.2972727272728</x:v>
      </x:c>
      <x:c r="I11" s="47" t="n">
        <x:f>IFERROR(G11/$G$12,0)</x:f>
        <x:v>0.06476545673857273</x:v>
      </x:c>
    </x:row>
    <x:row r="12">
      <x:c r="A12" s="219" t="str">
        <x:v>RAZEM</x:v>
      </x:c>
      <x:c r="B12" s="222" t="n">
        <x:f>SUM(B5:B11)</x:f>
        <x:v>187</x:v>
      </x:c>
      <x:c r="C12" s="220" t="n">
        <x:f>SUM(C5:C11)</x:f>
        <x:v>132091.11000000002</x:v>
      </x:c>
      <x:c r="D12" s="222" t="n">
        <x:f>SUM(D5:D11)</x:f>
        <x:v>5</x:v>
      </x:c>
      <x:c r="E12" s="220" t="n">
        <x:f>SUM(E5:E11)</x:f>
        <x:v>2280.09</x:v>
      </x:c>
      <x:c r="F12" s="222" t="n">
        <x:f>SUM(F5:F11)</x:f>
        <x:v>182</x:v>
      </x:c>
      <x:c r="G12" s="220" t="n">
        <x:f>SUM(G5:G11)</x:f>
        <x:v>129811.02</x:v>
      </x:c>
      <x:c r="H12" s="220" t="n">
        <x:f>IFERROR(G12/F12,0)</x:f>
        <x:v>713.2473626373627</x:v>
      </x:c>
      <x:c r="I12" s="221" t="n">
        <x:f>1</x:f>
        <x:v>1</x:v>
      </x:c>
    </x:row>
    <x:row r="13">
      <x:c r="A13" s="210"/>
      <x:c r="B13" s="210"/>
      <x:c r="C13" s="210"/>
      <x:c r="D13" s="210"/>
      <x:c r="E13" s="210"/>
      <x:c r="F13" s="210"/>
      <x:c r="G13" s="210"/>
      <x:c r="H13" s="210"/>
      <x:c r="I13" s="210"/>
    </x:row>
    <x:row r="14" ht="35" customHeight="1">
      <x:c r="A14" s="38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B14" s="39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C14" s="39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D14" s="39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E14" s="39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F14" s="39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G14" s="39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H14" s="39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  <x:c r="I14" s="40" t="str">
        <x:v>Kwota czysta w tym arkuszu pochodzi z ANALIZA_Zwroty. W rachunku wyników zastosowano stopę zwrotów z głównego dashboardu, ponieważ dashboard i analiza powodów mają inny zakres biznesowy; różnica pozostaje jawna w 25_ZRODLA_I_WNIOSKI.</x:v>
      </x:c>
    </x:row>
  </x:sheetData>
  <x:mergeCells>
    <x:mergeCell ref="A1:I1"/>
    <x:mergeCell ref="A2:I2"/>
    <x:mergeCell ref="A14:I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14" hidden="0" customWidth="1"/>
    <x:col min="3" max="3" width="17" hidden="0" customWidth="1"/>
    <x:col min="4" max="4" width="20" hidden="0" customWidth="1"/>
    <x:col min="5" max="5" width="20" hidden="0" customWidth="1"/>
    <x:col min="6" max="6" width="22" hidden="0" customWidth="1"/>
  </x:cols>
  <x:sheetData>
    <x:row r="1">
      <x:c r="A1" s="216" t="str">
        <x:v>MAGAZYN - STANY PO KONTROLI</x:v>
      </x:c>
      <x:c r="B1" s="216"/>
      <x:c r="C1" s="216"/>
      <x:c r="D1" s="216"/>
      <x:c r="E1" s="216"/>
      <x:c r="F1" s="216"/>
    </x:row>
    <x:row r="2" ht="32" customHeight="1">
      <x:c r="A2" s="42" t="str">
        <x:v>Lista dodatnich stanów magazynowych widocznych w analizie źródłowej. Próg minimalny jest aktywnym założeniem modelu.</x:v>
      </x:c>
      <x:c r="B2" s="42"/>
      <x:c r="C2" s="42"/>
      <x:c r="D2" s="42"/>
      <x:c r="E2" s="42"/>
      <x:c r="F2" s="42"/>
    </x:row>
    <x:row r="3">
      <x:c r="A3" s="210"/>
      <x:c r="B3" s="210"/>
      <x:c r="C3" s="210"/>
      <x:c r="D3" s="210"/>
      <x:c r="E3" s="210"/>
      <x:c r="F3" s="210"/>
    </x:row>
    <x:row r="4" ht="32" customHeight="1">
      <x:c r="A4" s="21" t="str">
        <x:v>Produkt</x:v>
      </x:c>
      <x:c r="B4" s="21" t="str">
        <x:v>Stan szt.</x:v>
      </x:c>
      <x:c r="C4" s="21" t="str">
        <x:v>Minimalny stan</x:v>
      </x:c>
      <x:c r="D4" s="21" t="str">
        <x:v>Nadwyżka / niedobór</x:v>
      </x:c>
      <x:c r="E4" s="21" t="str">
        <x:v>Status</x:v>
      </x:c>
      <x:c r="F4" s="21" t="str">
        <x:v>Priorytet uzupełnienia</x:v>
      </x:c>
    </x:row>
    <x:row r="5">
      <x:c r="A5" s="24" t="str">
        <x:v>FILTR DO DZBANKA 3 SZT.</x:v>
      </x:c>
      <x:c r="B5" s="65" t="n">
        <x:v>105</x:v>
      </x:c>
      <x:c r="C5" s="65" t="n">
        <x:f>'01_ZALOZENIA'!$E$33</x:f>
        <x:v>25</x:v>
      </x:c>
      <x:c r="D5" s="65" t="n">
        <x:f>B5-C5</x:f>
        <x:v>80</x:v>
      </x:c>
      <x:c r="E5" s="24" t="str">
        <x:f>IF(D5&lt;0,"Poniżej minimum","OK")</x:f>
        <x:v>OK</x:v>
      </x:c>
      <x:c r="F5" s="65" t="n">
        <x:f>IF(D5&lt;0,-D5,0)</x:f>
        <x:v>0</x:v>
      </x:c>
    </x:row>
    <x:row r="6">
      <x:c r="A6" s="27" t="str">
        <x:v>CZAJNIK ELEKTRYCZNY</x:v>
      </x:c>
      <x:c r="B6" s="66" t="n">
        <x:v>98</x:v>
      </x:c>
      <x:c r="C6" s="66" t="n">
        <x:f>'01_ZALOZENIA'!$E$33</x:f>
        <x:v>25</x:v>
      </x:c>
      <x:c r="D6" s="66" t="n">
        <x:f>B6-C6</x:f>
        <x:v>73</x:v>
      </x:c>
      <x:c r="E6" s="27" t="str">
        <x:f>IF(D6&lt;0,"Poniżej minimum","OK")</x:f>
        <x:v>OK</x:v>
      </x:c>
      <x:c r="F6" s="66" t="n">
        <x:f>IF(D6&lt;0,-D6,0)</x:f>
        <x:v>0</x:v>
      </x:c>
    </x:row>
    <x:row r="7">
      <x:c r="A7" s="24" t="str">
        <x:v>KOŃCÓWKI DO SZCZOTECZKI 4 SZT.</x:v>
      </x:c>
      <x:c r="B7" s="65" t="n">
        <x:v>96</x:v>
      </x:c>
      <x:c r="C7" s="65" t="n">
        <x:f>'01_ZALOZENIA'!$E$33</x:f>
        <x:v>25</x:v>
      </x:c>
      <x:c r="D7" s="65" t="n">
        <x:f>B7-C7</x:f>
        <x:v>71</x:v>
      </x:c>
      <x:c r="E7" s="24" t="str">
        <x:f>IF(D7&lt;0,"Poniżej minimum","OK")</x:f>
        <x:v>OK</x:v>
      </x:c>
      <x:c r="F7" s="65" t="n">
        <x:f>IF(D7&lt;0,-D7,0)</x:f>
        <x:v>0</x:v>
      </x:c>
    </x:row>
    <x:row r="8">
      <x:c r="A8" s="27" t="str">
        <x:v>CIŚNIENIOMIERZ NARAMIENNY</x:v>
      </x:c>
      <x:c r="B8" s="66" t="n">
        <x:v>91</x:v>
      </x:c>
      <x:c r="C8" s="66" t="n">
        <x:f>'01_ZALOZENIA'!$E$33</x:f>
        <x:v>25</x:v>
      </x:c>
      <x:c r="D8" s="66" t="n">
        <x:f>B8-C8</x:f>
        <x:v>66</x:v>
      </x:c>
      <x:c r="E8" s="27" t="str">
        <x:f>IF(D8&lt;0,"Poniżej minimum","OK")</x:f>
        <x:v>OK</x:v>
      </x:c>
      <x:c r="F8" s="66" t="n">
        <x:f>IF(D8&lt;0,-D8,0)</x:f>
        <x:v>0</x:v>
      </x:c>
    </x:row>
    <x:row r="9">
      <x:c r="A9" s="24" t="str">
        <x:v>MIKROFON USB</x:v>
      </x:c>
      <x:c r="B9" s="65" t="n">
        <x:v>52</x:v>
      </x:c>
      <x:c r="C9" s="65" t="n">
        <x:f>'01_ZALOZENIA'!$E$33</x:f>
        <x:v>25</x:v>
      </x:c>
      <x:c r="D9" s="65" t="n">
        <x:f>B9-C9</x:f>
        <x:v>27</x:v>
      </x:c>
      <x:c r="E9" s="24" t="str">
        <x:f>IF(D9&lt;0,"Poniżej minimum","OK")</x:f>
        <x:v>OK</x:v>
      </x:c>
      <x:c r="F9" s="65" t="n">
        <x:f>IF(D9&lt;0,-D9,0)</x:f>
        <x:v>0</x:v>
      </x:c>
    </x:row>
    <x:row r="10">
      <x:c r="A10" s="27" t="str">
        <x:v>SKAKANKA TRENINGOWA</x:v>
      </x:c>
      <x:c r="B10" s="66" t="n">
        <x:v>50</x:v>
      </x:c>
      <x:c r="C10" s="66" t="n">
        <x:f>'01_ZALOZENIA'!$E$33</x:f>
        <x:v>25</x:v>
      </x:c>
      <x:c r="D10" s="66" t="n">
        <x:f>B10-C10</x:f>
        <x:v>25</x:v>
      </x:c>
      <x:c r="E10" s="27" t="str">
        <x:f>IF(D10&lt;0,"Poniżej minimum","OK")</x:f>
        <x:v>OK</x:v>
      </x:c>
      <x:c r="F10" s="66" t="n">
        <x:f>IF(D10&lt;0,-D10,0)</x:f>
        <x:v>0</x:v>
      </x:c>
    </x:row>
    <x:row r="11">
      <x:c r="A11" s="24" t="str">
        <x:v>MOP OBROTOWY</x:v>
      </x:c>
      <x:c r="B11" s="65" t="n">
        <x:v>43</x:v>
      </x:c>
      <x:c r="C11" s="65" t="n">
        <x:f>'01_ZALOZENIA'!$E$33</x:f>
        <x:v>25</x:v>
      </x:c>
      <x:c r="D11" s="65" t="n">
        <x:f>B11-C11</x:f>
        <x:v>18</x:v>
      </x:c>
      <x:c r="E11" s="24" t="str">
        <x:f>IF(D11&lt;0,"Poniżej minimum","OK")</x:f>
        <x:v>OK</x:v>
      </x:c>
      <x:c r="F11" s="65" t="n">
        <x:f>IF(D11&lt;0,-D11,0)</x:f>
        <x:v>0</x:v>
      </x:c>
    </x:row>
    <x:row r="12">
      <x:c r="A12" s="27" t="str">
        <x:v>KABEL USB-C 2 M</x:v>
      </x:c>
      <x:c r="B12" s="66" t="n">
        <x:v>26</x:v>
      </x:c>
      <x:c r="C12" s="66" t="n">
        <x:f>'01_ZALOZENIA'!$E$33</x:f>
        <x:v>25</x:v>
      </x:c>
      <x:c r="D12" s="66" t="n">
        <x:f>B12-C12</x:f>
        <x:v>1</x:v>
      </x:c>
      <x:c r="E12" s="27" t="str">
        <x:f>IF(D12&lt;0,"Poniżej minimum","OK")</x:f>
        <x:v>OK</x:v>
      </x:c>
      <x:c r="F12" s="66" t="n">
        <x:f>IF(D12&lt;0,-D12,0)</x:f>
        <x:v>0</x:v>
      </x:c>
    </x:row>
    <x:row r="13">
      <x:c r="A13" s="24" t="str">
        <x:v>MATA TRENINGOWA</x:v>
      </x:c>
      <x:c r="B13" s="65" t="n">
        <x:v>25</x:v>
      </x:c>
      <x:c r="C13" s="65" t="n">
        <x:f>'01_ZALOZENIA'!$E$33</x:f>
        <x:v>25</x:v>
      </x:c>
      <x:c r="D13" s="65" t="n">
        <x:f>B13-C13</x:f>
        <x:v>0</x:v>
      </x:c>
      <x:c r="E13" s="24" t="str">
        <x:f>IF(D13&lt;0,"Poniżej minimum","OK")</x:f>
        <x:v>OK</x:v>
      </x:c>
      <x:c r="F13" s="65" t="n">
        <x:f>IF(D13&lt;0,-D13,0)</x:f>
        <x:v>0</x:v>
      </x:c>
    </x:row>
    <x:row r="14">
      <x:c r="A14" s="27" t="str">
        <x:v>MASAŻER KARKU</x:v>
      </x:c>
      <x:c r="B14" s="66" t="n">
        <x:v>9</x:v>
      </x:c>
      <x:c r="C14" s="66" t="n">
        <x:f>'01_ZALOZENIA'!$E$33</x:f>
        <x:v>25</x:v>
      </x:c>
      <x:c r="D14" s="66" t="n">
        <x:f>B14-C14</x:f>
        <x:v>-16</x:v>
      </x:c>
      <x:c r="E14" s="27" t="str">
        <x:f>IF(D14&lt;0,"Poniżej minimum","OK")</x:f>
        <x:v>Poniżej minimum</x:v>
      </x:c>
      <x:c r="F14" s="66" t="n">
        <x:f>IF(D14&lt;0,-D14,0)</x:f>
        <x:v>16</x:v>
      </x:c>
    </x:row>
    <x:row r="15">
      <x:c r="A15" s="219" t="str">
        <x:v>RAZEM</x:v>
      </x:c>
      <x:c r="B15" s="222" t="n">
        <x:f>SUM(B5:B14)</x:f>
        <x:v>595</x:v>
      </x:c>
      <x:c r="C15" s="222"/>
      <x:c r="D15" s="222"/>
      <x:c r="E15" s="219"/>
      <x:c r="F15" s="222" t="n">
        <x:f>SUM(F5:F14)</x:f>
        <x:v>16</x:v>
      </x:c>
    </x:row>
    <x:row r="16">
      <x:c r="A16" s="210"/>
      <x:c r="B16" s="210"/>
      <x:c r="C16" s="210"/>
      <x:c r="D16" s="210"/>
      <x:c r="E16" s="210"/>
      <x:c r="F16" s="210"/>
    </x:row>
    <x:row r="17" ht="35" customHeight="1">
      <x:c r="A17" s="38" t="str">
        <x:v>18 rekordów pozostaje wykazanych w KONTROLA_Magazyn. Model nie dopisuje im zapasu ani ceny - używa wyłącznie dodatnich stanów pokazanych w analizie.</x:v>
      </x:c>
      <x:c r="B17" s="39" t="str">
        <x:v>18 rekordów pozostaje wykazanych w KONTROLA_Magazyn. Model nie dopisuje im zapasu ani ceny - używa wyłącznie dodatnich stanów pokazanych w analizie.</x:v>
      </x:c>
      <x:c r="C17" s="39" t="str">
        <x:v>18 rekordów pozostaje wykazanych w KONTROLA_Magazyn. Model nie dopisuje im zapasu ani ceny - używa wyłącznie dodatnich stanów pokazanych w analizie.</x:v>
      </x:c>
      <x:c r="D17" s="39" t="str">
        <x:v>18 rekordów pozostaje wykazanych w KONTROLA_Magazyn. Model nie dopisuje im zapasu ani ceny - używa wyłącznie dodatnich stanów pokazanych w analizie.</x:v>
      </x:c>
      <x:c r="E17" s="39" t="str">
        <x:v>18 rekordów pozostaje wykazanych w KONTROLA_Magazyn. Model nie dopisuje im zapasu ani ceny - używa wyłącznie dodatnich stanów pokazanych w analizie.</x:v>
      </x:c>
      <x:c r="F17" s="40" t="str">
        <x:v>18 rekordów pozostaje wykazanych w KONTROLA_Magazyn. Model nie dopisuje im zapasu ani ceny - używa wyłącznie dodatnich stanów pokazanych w analizie.</x:v>
      </x:c>
    </x:row>
  </x:sheetData>
  <x:mergeCells>
    <x:mergeCell ref="A1:F1"/>
    <x:mergeCell ref="A2:F2"/>
    <x:mergeCell ref="A17:F17"/>
  </x:mergeCells>
  <x:conditionalFormatting sqref="E5:E14">
    <x:cfRule type="containsText" dxfId="2" priority="1" operator="containsText" text="Poniżej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9" hidden="0" customWidth="1"/>
    <x:col min="5" max="5" width="17" hidden="0" customWidth="1"/>
    <x:col min="6" max="6" width="15" hidden="0" customWidth="1"/>
    <x:col min="7" max="7" width="20" hidden="0" customWidth="1"/>
  </x:cols>
  <x:sheetData>
    <x:row r="1">
      <x:c r="A1" s="216" t="str">
        <x:v>BUDŻET SPRZEDAŻY 2025 - WYKONANIE VS PLAN</x:v>
      </x:c>
      <x:c r="B1" s="216"/>
      <x:c r="C1" s="216"/>
      <x:c r="D1" s="216"/>
      <x:c r="E1" s="216"/>
      <x:c r="F1" s="216"/>
      <x:c r="G1" s="216"/>
    </x:row>
    <x:row r="2" ht="32" customHeight="1">
      <x:c r="A2" s="42" t="str">
        <x:v>Budżet jest wartością źródłową pomniejszoną wyłącznie o 16 rekordów KONTROLA_Budzet.</x:v>
      </x:c>
      <x:c r="B2" s="42"/>
      <x:c r="C2" s="42"/>
      <x:c r="D2" s="42"/>
      <x:c r="E2" s="42"/>
      <x:c r="F2" s="42"/>
      <x:c r="G2" s="42"/>
    </x:row>
    <x:row r="3">
      <x:c r="A3" s="210"/>
      <x:c r="B3" s="210"/>
      <x:c r="C3" s="210"/>
      <x:c r="D3" s="210"/>
      <x:c r="E3" s="210"/>
      <x:c r="F3" s="210"/>
      <x:c r="G3" s="210"/>
    </x:row>
    <x:row r="4" ht="32" customHeight="1">
      <x:c r="A4" s="21" t="str">
        <x:v>Miesiąc</x:v>
      </x:c>
      <x:c r="B4" s="21" t="str">
        <x:v>Wykonanie czyste</x:v>
      </x:c>
      <x:c r="C4" s="21" t="str">
        <x:v>Budżet czysty</x:v>
      </x:c>
      <x:c r="D4" s="21" t="str">
        <x:v>Odchylenie</x:v>
      </x:c>
      <x:c r="E4" s="21" t="str">
        <x:v>Odchylenie %</x:v>
      </x:c>
      <x:c r="F4" s="21" t="str">
        <x:v>Realizacja</x:v>
      </x:c>
      <x:c r="G4" s="21" t="str">
        <x:v>Status</x:v>
      </x:c>
    </x:row>
    <x:row r="5">
      <x:c r="A5" s="59" t="n">
        <x:f>'02_ZRODLO_MIESIACE'!A5</x:f>
        <x:v>45658</x:v>
      </x:c>
      <x:c r="B5" s="53" t="n">
        <x:f>'02_ZRODLO_MIESIACE'!D5</x:f>
        <x:v>263103.792</x:v>
      </x:c>
      <x:c r="C5" s="53" t="n">
        <x:f>'02_ZRODLO_MIESIACE'!G5</x:f>
        <x:v>380693.48</x:v>
      </x:c>
      <x:c r="D5" s="53" t="n">
        <x:f>B5-C5</x:f>
        <x:v>-117589.68799999997</x:v>
      </x:c>
      <x:c r="E5" s="47" t="n">
        <x:f>IFERROR(D5/C5,0)</x:f>
        <x:v>-0.30888285241974717</x:v>
      </x:c>
      <x:c r="F5" s="47" t="n">
        <x:f>IFERROR(B5/C5,0)</x:f>
        <x:v>0.6911171475802528</x:v>
      </x:c>
      <x:c r="G5" s="24" t="str">
        <x:f>IF(ABS(E5)&lt;='01_ZALOZENIA'!$E$24,"W tolerancji",IF(D5&gt;0,"Korzystne","Niekorzystne"))</x:f>
        <x:v>Niekorzystne</x:v>
      </x:c>
    </x:row>
    <x:row r="6">
      <x:c r="A6" s="60" t="n">
        <x:f>'02_ZRODLO_MIESIACE'!A6</x:f>
        <x:v>45689</x:v>
      </x:c>
      <x:c r="B6" s="51" t="n">
        <x:f>'02_ZRODLO_MIESIACE'!D6</x:f>
        <x:v>292596.9099999999</x:v>
      </x:c>
      <x:c r="C6" s="51" t="n">
        <x:f>'02_ZRODLO_MIESIACE'!G6</x:f>
        <x:v>358269.3</x:v>
      </x:c>
      <x:c r="D6" s="51" t="n">
        <x:f>B6-C6</x:f>
        <x:v>-65672.39000000007</x:v>
      </x:c>
      <x:c r="E6" s="49" t="n">
        <x:f>IFERROR(D6/C6,0)</x:f>
        <x:v>-0.18330454214190295</x:v>
      </x:c>
      <x:c r="F6" s="49" t="n">
        <x:f>IFERROR(B6/C6,0)</x:f>
        <x:v>0.816695457858097</x:v>
      </x:c>
      <x:c r="G6" s="27" t="str">
        <x:f>IF(ABS(E6)&lt;='01_ZALOZENIA'!$E$24,"W tolerancji",IF(D6&gt;0,"Korzystne","Niekorzystne"))</x:f>
        <x:v>Niekorzystne</x:v>
      </x:c>
    </x:row>
    <x:row r="7">
      <x:c r="A7" s="59" t="n">
        <x:f>'02_ZRODLO_MIESIACE'!A7</x:f>
        <x:v>45717</x:v>
      </x:c>
      <x:c r="B7" s="53" t="n">
        <x:f>'02_ZRODLO_MIESIACE'!D7</x:f>
        <x:v>249726.53900000002</x:v>
      </x:c>
      <x:c r="C7" s="53" t="n">
        <x:f>'02_ZRODLO_MIESIACE'!G7</x:f>
        <x:v>456500.11000000004</x:v>
      </x:c>
      <x:c r="D7" s="53" t="n">
        <x:f>B7-C7</x:f>
        <x:v>-206773.57100000003</x:v>
      </x:c>
      <x:c r="E7" s="47" t="n">
        <x:f>IFERROR(D7/C7,0)</x:f>
        <x:v>-0.45295404419508245</x:v>
      </x:c>
      <x:c r="F7" s="47" t="n">
        <x:f>IFERROR(B7/C7,0)</x:f>
        <x:v>0.5470459558049175</x:v>
      </x:c>
      <x:c r="G7" s="24" t="str">
        <x:f>IF(ABS(E7)&lt;='01_ZALOZENIA'!$E$24,"W tolerancji",IF(D7&gt;0,"Korzystne","Niekorzystne"))</x:f>
        <x:v>Niekorzystne</x:v>
      </x:c>
    </x:row>
    <x:row r="8">
      <x:c r="A8" s="60" t="n">
        <x:f>'02_ZRODLO_MIESIACE'!A8</x:f>
        <x:v>45748</x:v>
      </x:c>
      <x:c r="B8" s="51" t="n">
        <x:f>'02_ZRODLO_MIESIACE'!D8</x:f>
        <x:v>315224.60300000006</x:v>
      </x:c>
      <x:c r="C8" s="51" t="n">
        <x:f>'02_ZRODLO_MIESIACE'!G8</x:f>
        <x:v>410852.95999999996</x:v>
      </x:c>
      <x:c r="D8" s="51" t="n">
        <x:f>B8-C8</x:f>
        <x:v>-95628.3569999999</x:v>
      </x:c>
      <x:c r="E8" s="49" t="n">
        <x:f>IFERROR(D8/C8,0)</x:f>
        <x:v>-0.23275567249168636</x:v>
      </x:c>
      <x:c r="F8" s="49" t="n">
        <x:f>IFERROR(B8/C8,0)</x:f>
        <x:v>0.7672443275083136</x:v>
      </x:c>
      <x:c r="G8" s="27" t="str">
        <x:f>IF(ABS(E8)&lt;='01_ZALOZENIA'!$E$24,"W tolerancji",IF(D8&gt;0,"Korzystne","Niekorzystne"))</x:f>
        <x:v>Niekorzystne</x:v>
      </x:c>
    </x:row>
    <x:row r="9">
      <x:c r="A9" s="59" t="n">
        <x:f>'02_ZRODLO_MIESIACE'!A9</x:f>
        <x:v>45778</x:v>
      </x:c>
      <x:c r="B9" s="53" t="n">
        <x:f>'02_ZRODLO_MIESIACE'!D9</x:f>
        <x:v>264184.5619999999</x:v>
      </x:c>
      <x:c r="C9" s="53" t="n">
        <x:f>'02_ZRODLO_MIESIACE'!G9</x:f>
        <x:v>366190.62</x:v>
      </x:c>
      <x:c r="D9" s="53" t="n">
        <x:f>B9-C9</x:f>
        <x:v>-102006.05800000008</x:v>
      </x:c>
      <x:c r="E9" s="47" t="n">
        <x:f>IFERROR(D9/C9,0)</x:f>
        <x:v>-0.27855999697643835</x:v>
      </x:c>
      <x:c r="F9" s="47" t="n">
        <x:f>IFERROR(B9/C9,0)</x:f>
        <x:v>0.7214400030235617</x:v>
      </x:c>
      <x:c r="G9" s="24" t="str">
        <x:f>IF(ABS(E9)&lt;='01_ZALOZENIA'!$E$24,"W tolerancji",IF(D9&gt;0,"Korzystne","Niekorzystne"))</x:f>
        <x:v>Niekorzystne</x:v>
      </x:c>
    </x:row>
    <x:row r="10">
      <x:c r="A10" s="60" t="n">
        <x:f>'02_ZRODLO_MIESIACE'!A10</x:f>
        <x:v>45809</x:v>
      </x:c>
      <x:c r="B10" s="51" t="n">
        <x:f>'02_ZRODLO_MIESIACE'!D10</x:f>
        <x:v>309005.7045000001</x:v>
      </x:c>
      <x:c r="C10" s="51" t="n">
        <x:f>'02_ZRODLO_MIESIACE'!G10</x:f>
        <x:v>449612.97</x:v>
      </x:c>
      <x:c r="D10" s="51" t="n">
        <x:f>B10-C10</x:f>
        <x:v>-140607.26549999986</x:v>
      </x:c>
      <x:c r="E10" s="49" t="n">
        <x:f>IFERROR(D10/C10,0)</x:f>
        <x:v>-0.31272955826874804</x:v>
      </x:c>
      <x:c r="F10" s="49" t="n">
        <x:f>IFERROR(B10/C10,0)</x:f>
        <x:v>0.687270441731252</x:v>
      </x:c>
      <x:c r="G10" s="27" t="str">
        <x:f>IF(ABS(E10)&lt;='01_ZALOZENIA'!$E$24,"W tolerancji",IF(D10&gt;0,"Korzystne","Niekorzystne"))</x:f>
        <x:v>Niekorzystne</x:v>
      </x:c>
    </x:row>
    <x:row r="11">
      <x:c r="A11" s="59" t="n">
        <x:f>'02_ZRODLO_MIESIACE'!A11</x:f>
        <x:v>45839</x:v>
      </x:c>
      <x:c r="B11" s="53" t="n">
        <x:f>'02_ZRODLO_MIESIACE'!D11</x:f>
        <x:v>335508.3610000001</x:v>
      </x:c>
      <x:c r="C11" s="53" t="n">
        <x:f>'02_ZRODLO_MIESIACE'!G11</x:f>
        <x:v>480450.33999999997</x:v>
      </x:c>
      <x:c r="D11" s="53" t="n">
        <x:f>B11-C11</x:f>
        <x:v>-144941.97899999988</x:v>
      </x:c>
      <x:c r="E11" s="47" t="n">
        <x:f>IFERROR(D11/C11,0)</x:f>
        <x:v>-0.3016794181059376</x:v>
      </x:c>
      <x:c r="F11" s="47" t="n">
        <x:f>IFERROR(B11/C11,0)</x:f>
        <x:v>0.6983205818940624</x:v>
      </x:c>
      <x:c r="G11" s="24" t="str">
        <x:f>IF(ABS(E11)&lt;='01_ZALOZENIA'!$E$24,"W tolerancji",IF(D11&gt;0,"Korzystne","Niekorzystne"))</x:f>
        <x:v>Niekorzystne</x:v>
      </x:c>
    </x:row>
    <x:row r="12">
      <x:c r="A12" s="60" t="n">
        <x:f>'02_ZRODLO_MIESIACE'!A12</x:f>
        <x:v>45870</x:v>
      </x:c>
      <x:c r="B12" s="51" t="n">
        <x:f>'02_ZRODLO_MIESIACE'!D12</x:f>
        <x:v>305194.6069999999</x:v>
      </x:c>
      <x:c r="C12" s="51" t="n">
        <x:f>'02_ZRODLO_MIESIACE'!G12</x:f>
        <x:v>470244.22</x:v>
      </x:c>
      <x:c r="D12" s="51" t="n">
        <x:f>B12-C12</x:f>
        <x:v>-165049.61300000007</x:v>
      </x:c>
      <x:c r="E12" s="49" t="n">
        <x:f>IFERROR(D12/C12,0)</x:f>
        <x:v>-0.3509870105367804</x:v>
      </x:c>
      <x:c r="F12" s="49" t="n">
        <x:f>IFERROR(B12/C12,0)</x:f>
        <x:v>0.6490129894632196</x:v>
      </x:c>
      <x:c r="G12" s="27" t="str">
        <x:f>IF(ABS(E12)&lt;='01_ZALOZENIA'!$E$24,"W tolerancji",IF(D12&gt;0,"Korzystne","Niekorzystne"))</x:f>
        <x:v>Niekorzystne</x:v>
      </x:c>
    </x:row>
    <x:row r="13">
      <x:c r="A13" s="59" t="n">
        <x:f>'02_ZRODLO_MIESIACE'!A13</x:f>
        <x:v>45901</x:v>
      </x:c>
      <x:c r="B13" s="53" t="n">
        <x:f>'02_ZRODLO_MIESIACE'!D13</x:f>
        <x:v>353042.4815</x:v>
      </x:c>
      <x:c r="C13" s="53" t="n">
        <x:f>'02_ZRODLO_MIESIACE'!G13</x:f>
        <x:v>467088.18</x:v>
      </x:c>
      <x:c r="D13" s="53" t="n">
        <x:f>B13-C13</x:f>
        <x:v>-114045.6985</x:v>
      </x:c>
      <x:c r="E13" s="47" t="n">
        <x:f>IFERROR(D13/C13,0)</x:f>
        <x:v>-0.24416310106584158</x:v>
      </x:c>
      <x:c r="F13" s="47" t="n">
        <x:f>IFERROR(B13/C13,0)</x:f>
        <x:v>0.7558368989341584</x:v>
      </x:c>
      <x:c r="G13" s="24" t="str">
        <x:f>IF(ABS(E13)&lt;='01_ZALOZENIA'!$E$24,"W tolerancji",IF(D13&gt;0,"Korzystne","Niekorzystne"))</x:f>
        <x:v>Niekorzystne</x:v>
      </x:c>
    </x:row>
    <x:row r="14">
      <x:c r="A14" s="60" t="n">
        <x:f>'02_ZRODLO_MIESIACE'!A14</x:f>
        <x:v>45931</x:v>
      </x:c>
      <x:c r="B14" s="51" t="n">
        <x:f>'02_ZRODLO_MIESIACE'!D14</x:f>
        <x:v>294165.55499999993</x:v>
      </x:c>
      <x:c r="C14" s="51" t="n">
        <x:f>'02_ZRODLO_MIESIACE'!G14</x:f>
        <x:v>446708.17</x:v>
      </x:c>
      <x:c r="D14" s="51" t="n">
        <x:f>B14-C14</x:f>
        <x:v>-152542.61500000005</x:v>
      </x:c>
      <x:c r="E14" s="49" t="n">
        <x:f>IFERROR(D14/C14,0)</x:f>
        <x:v>-0.34148158740862083</x:v>
      </x:c>
      <x:c r="F14" s="49" t="n">
        <x:f>IFERROR(B14/C14,0)</x:f>
        <x:v>0.6585184125913792</x:v>
      </x:c>
      <x:c r="G14" s="27" t="str">
        <x:f>IF(ABS(E14)&lt;='01_ZALOZENIA'!$E$24,"W tolerancji",IF(D14&gt;0,"Korzystne","Niekorzystne"))</x:f>
        <x:v>Niekorzystne</x:v>
      </x:c>
    </x:row>
    <x:row r="15">
      <x:c r="A15" s="59" t="n">
        <x:f>'02_ZRODLO_MIESIACE'!A15</x:f>
        <x:v>45962</x:v>
      </x:c>
      <x:c r="B15" s="53" t="n">
        <x:f>'02_ZRODLO_MIESIACE'!D15</x:f>
        <x:v>305524.7095000001</x:v>
      </x:c>
      <x:c r="C15" s="53" t="n">
        <x:f>'02_ZRODLO_MIESIACE'!G15</x:f>
        <x:v>596741.74</x:v>
      </x:c>
      <x:c r="D15" s="53" t="n">
        <x:f>B15-C15</x:f>
        <x:v>-291217.0304999999</x:v>
      </x:c>
      <x:c r="E15" s="47" t="n">
        <x:f>IFERROR(D15/C15,0)</x:f>
        <x:v>-0.48801183322621255</x:v>
      </x:c>
      <x:c r="F15" s="47" t="n">
        <x:f>IFERROR(B15/C15,0)</x:f>
        <x:v>0.5119881667737874</x:v>
      </x:c>
      <x:c r="G15" s="24" t="str">
        <x:f>IF(ABS(E15)&lt;='01_ZALOZENIA'!$E$24,"W tolerancji",IF(D15&gt;0,"Korzystne","Niekorzystne"))</x:f>
        <x:v>Niekorzystne</x:v>
      </x:c>
    </x:row>
    <x:row r="16">
      <x:c r="A16" s="60" t="n">
        <x:f>'02_ZRODLO_MIESIACE'!A16</x:f>
        <x:v>45992</x:v>
      </x:c>
      <x:c r="B16" s="51" t="n">
        <x:f>'02_ZRODLO_MIESIACE'!D16</x:f>
        <x:v>224186.094</x:v>
      </x:c>
      <x:c r="C16" s="51" t="n">
        <x:f>'02_ZRODLO_MIESIACE'!G16</x:f>
        <x:v>579022.69</x:v>
      </x:c>
      <x:c r="D16" s="51" t="n">
        <x:f>B16-C16</x:f>
        <x:v>-354836.5959999999</x:v>
      </x:c>
      <x:c r="E16" s="49" t="n">
        <x:f>IFERROR(D16/C16,0)</x:f>
        <x:v>-0.6128198464899535</x:v>
      </x:c>
      <x:c r="F16" s="49" t="n">
        <x:f>IFERROR(B16/C16,0)</x:f>
        <x:v>0.3871801535100464</x:v>
      </x:c>
      <x:c r="G16" s="27" t="str">
        <x:f>IF(ABS(E16)&lt;='01_ZALOZENIA'!$E$24,"W tolerancji",IF(D16&gt;0,"Korzystne","Niekorzystne"))</x:f>
        <x:v>Niekorzystne</x:v>
      </x:c>
    </x:row>
    <x:row r="17">
      <x:c r="A17" s="55" t="str">
        <x:v>Poza osią miesięczną</x:v>
      </x:c>
      <x:c r="B17" s="61" t="n">
        <x:f>'02_ZRODLO_MIESIACE'!D17</x:f>
        <x:v>3228.109000000877</x:v>
      </x:c>
      <x:c r="C17" s="61" t="n">
        <x:f>'02_ZRODLO_MIESIACE'!G17</x:f>
        <x:v>0</x:v>
      </x:c>
      <x:c r="D17" s="61" t="n">
        <x:f>B17-C17</x:f>
        <x:v>3228.109000000877</x:v>
      </x:c>
      <x:c r="E17" s="63" t="n">
        <x:f>IFERROR(D17/C17,0)</x:f>
        <x:v>0</x:v>
      </x:c>
      <x:c r="F17" s="63" t="n">
        <x:f>IFERROR(B17/C17,0)</x:f>
        <x:v>0</x:v>
      </x:c>
      <x:c r="G17" s="55" t="str">
        <x:v>Poza osią miesięczną</x:v>
      </x:c>
    </x:row>
    <x:row r="18">
      <x:c r="A18" s="219" t="str">
        <x:v>RAZEM</x:v>
      </x:c>
      <x:c r="B18" s="220" t="n">
        <x:f>SUM(B5:B17)</x:f>
        <x:v>3514692.0275000003</x:v>
      </x:c>
      <x:c r="C18" s="220" t="n">
        <x:f>SUM(C5:C17)</x:f>
        <x:v>5462374.780000001</x:v>
      </x:c>
      <x:c r="D18" s="220" t="n">
        <x:f>SUM(D5:D17)</x:f>
        <x:v>-1947682.7524999988</x:v>
      </x:c>
      <x:c r="E18" s="221" t="n">
        <x:f>IFERROR(D18/C18,0)</x:f>
        <x:v>-0.35656336867094246</x:v>
      </x:c>
      <x:c r="F18" s="221" t="n">
        <x:f>IFERROR(B18/C18,0)</x:f>
        <x:v>0.6434366313290572</x:v>
      </x:c>
      <x:c r="G18" s="219" t="str">
        <x:f>IF(ABS(E18)&lt;='01_ZALOZENIA'!$E$24,"W tolerancji",IF(D18&gt;0,"Korzystne","Niekorzystne"))</x:f>
        <x:v>Niekorzystne</x:v>
      </x:c>
    </x:row>
  </x:sheetData>
  <x:mergeCells>
    <x:mergeCell ref="A1:G1"/>
    <x:mergeCell ref="A2:G2"/>
  </x:mergeCells>
  <x:conditionalFormatting sqref="G5:G18">
    <x:cfRule type="containsText" dxfId="3" priority="1" operator="containsText" text="Niekorzystne"/>
    <x:cfRule type="containsText" dxfId="4" priority="2" operator="containsText" text="Korzystn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9" hidden="0" customWidth="1"/>
  </x:cols>
  <x:sheetData>
    <x:row r="1">
      <x:c r="A1" s="216" t="str">
        <x:v>PLAN FINANSOWY 2026 - AKTYWNY SCENARIUSZ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Plan wykorzystuje rzeczywisty profil miesięczny 2025 oraz scenariusz wybrany w 01_ZALOZENIA. Cena i wolumen sterują przychodem osobno; koszt odsetek jest kwotą miesięczną, a nie stopą.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Pozycja</x:v>
      </x:c>
      <x:c r="B4" s="80" t="n">
        <x:v>46023</x:v>
      </x:c>
      <x:c r="C4" s="80" t="n">
        <x:v>46054</x:v>
      </x:c>
      <x:c r="D4" s="80" t="n">
        <x:v>46082</x:v>
      </x:c>
      <x:c r="E4" s="80" t="n">
        <x:v>46113</x:v>
      </x:c>
      <x:c r="F4" s="80" t="n">
        <x:v>46143</x:v>
      </x:c>
      <x:c r="G4" s="80" t="n">
        <x:v>46174</x:v>
      </x:c>
      <x:c r="H4" s="80" t="n">
        <x:v>46204</x:v>
      </x:c>
      <x:c r="I4" s="80" t="n">
        <x:v>46235</x:v>
      </x:c>
      <x:c r="J4" s="80" t="n">
        <x:v>46266</x:v>
      </x:c>
      <x:c r="K4" s="80" t="n">
        <x:v>46296</x:v>
      </x:c>
      <x:c r="L4" s="80" t="n">
        <x:v>46327</x:v>
      </x:c>
      <x:c r="M4" s="80" t="n">
        <x:v>46357</x:v>
      </x:c>
      <x:c r="N4" s="21" t="str">
        <x:v>Razem</x:v>
      </x:c>
    </x:row>
    <x:row r="5">
      <x:c r="A5" s="87" t="str">
        <x:v>Przychód brutto</x:v>
      </x:c>
      <x:c r="B5" s="53" t="n">
        <x:f>'06_SPRZEDAZ_WYKONANIE'!B5*'06_SPRZEDAZ_WYKONANIE'!$B$18/SUM('06_SPRZEDAZ_WYKONANIE'!$B$5:$B$16)*(1+'01_ZALOZENIA'!$E$6+'01_ZALOZENIA'!$E$20)*(1+'01_ZALOZENIA'!$E$7+'01_ZALOZENIA'!$E$21)</x:f>
        <x:v>282095.8761669574</x:v>
      </x:c>
      <x:c r="C5" s="53" t="n">
        <x:f>'06_SPRZEDAZ_WYKONANIE'!B6*'06_SPRZEDAZ_WYKONANIE'!$B$18/SUM('06_SPRZEDAZ_WYKONANIE'!$B$5:$B$16)*(1+'01_ZALOZENIA'!$E$6+'01_ZALOZENIA'!$E$20)*(1+'01_ZALOZENIA'!$E$7+'01_ZALOZENIA'!$E$21)</x:f>
        <x:v>313717.9478211182</x:v>
      </x:c>
      <x:c r="D5" s="53" t="n">
        <x:f>'06_SPRZEDAZ_WYKONANIE'!B7*'06_SPRZEDAZ_WYKONANIE'!$B$18/SUM('06_SPRZEDAZ_WYKONANIE'!$B$5:$B$16)*(1+'01_ZALOZENIA'!$E$6+'01_ZALOZENIA'!$E$20)*(1+'01_ZALOZENIA'!$E$7+'01_ZALOZENIA'!$E$21)</x:f>
        <x:v>267752.98936530284</x:v>
      </x:c>
      <x:c r="E5" s="53" t="n">
        <x:f>'06_SPRZEDAZ_WYKONANIE'!B8*'06_SPRZEDAZ_WYKONANIE'!$B$18/SUM('06_SPRZEDAZ_WYKONANIE'!$B$5:$B$16)*(1+'01_ZALOZENIA'!$E$6+'01_ZALOZENIA'!$E$20)*(1+'01_ZALOZENIA'!$E$7+'01_ZALOZENIA'!$E$21)</x:f>
        <x:v>337979.01541710313</x:v>
      </x:c>
      <x:c r="F5" s="53" t="n">
        <x:f>'06_SPRZEDAZ_WYKONANIE'!B9*'06_SPRZEDAZ_WYKONANIE'!$B$18/SUM('06_SPRZEDAZ_WYKONANIE'!$B$5:$B$16)*(1+'01_ZALOZENIA'!$E$6+'01_ZALOZENIA'!$E$20)*(1+'01_ZALOZENIA'!$E$7+'01_ZALOZENIA'!$E$21)</x:f>
        <x:v>283254.66129037715</x:v>
      </x:c>
      <x:c r="G5" s="53" t="n">
        <x:f>'06_SPRZEDAZ_WYKONANIE'!B10*'06_SPRZEDAZ_WYKONANIE'!$B$18/SUM('06_SPRZEDAZ_WYKONANIE'!$B$5:$B$16)*(1+'01_ZALOZENIA'!$E$6+'01_ZALOZENIA'!$E$20)*(1+'01_ZALOZENIA'!$E$7+'01_ZALOZENIA'!$E$21)</x:f>
        <x:v>331311.2072193754</x:v>
      </x:c>
      <x:c r="H5" s="53" t="n">
        <x:f>'06_SPRZEDAZ_WYKONANIE'!B11*'06_SPRZEDAZ_WYKONANIE'!$B$18/SUM('06_SPRZEDAZ_WYKONANIE'!$B$5:$B$16)*(1+'01_ZALOZENIA'!$E$6+'01_ZALOZENIA'!$E$20)*(1+'01_ZALOZENIA'!$E$7+'01_ZALOZENIA'!$E$21)</x:f>
        <x:v>359726.9516268881</x:v>
      </x:c>
      <x:c r="I5" s="53" t="n">
        <x:f>'06_SPRZEDAZ_WYKONANIE'!B12*'06_SPRZEDAZ_WYKONANIE'!$B$18/SUM('06_SPRZEDAZ_WYKONANIE'!$B$5:$B$16)*(1+'01_ZALOZENIA'!$E$6+'01_ZALOZENIA'!$E$20)*(1+'01_ZALOZENIA'!$E$7+'01_ZALOZENIA'!$E$21)</x:f>
        <x:v>327225.0065597503</x:v>
      </x:c>
      <x:c r="J5" s="53" t="n">
        <x:f>'06_SPRZEDAZ_WYKONANIE'!B13*'06_SPRZEDAZ_WYKONANIE'!$B$18/SUM('06_SPRZEDAZ_WYKONANIE'!$B$5:$B$16)*(1+'01_ZALOZENIA'!$E$6+'01_ZALOZENIA'!$E$20)*(1+'01_ZALOZENIA'!$E$7+'01_ZALOZENIA'!$E$21)</x:f>
        <x:v>378526.7684127462</x:v>
      </x:c>
      <x:c r="K5" s="53" t="n">
        <x:f>'06_SPRZEDAZ_WYKONANIE'!B14*'06_SPRZEDAZ_WYKONANIE'!$B$18/SUM('06_SPRZEDAZ_WYKONANIE'!$B$5:$B$16)*(1+'01_ZALOZENIA'!$E$6+'01_ZALOZENIA'!$E$20)*(1+'01_ZALOZENIA'!$E$7+'01_ZALOZENIA'!$E$21)</x:f>
        <x:v>315399.8250844833</x:v>
      </x:c>
      <x:c r="L5" s="53" t="n">
        <x:f>'06_SPRZEDAZ_WYKONANIE'!B15*'06_SPRZEDAZ_WYKONANIE'!$B$18/SUM('06_SPRZEDAZ_WYKONANIE'!$B$5:$B$16)*(1+'01_ZALOZENIA'!$E$6+'01_ZALOZENIA'!$E$20)*(1+'01_ZALOZENIA'!$E$7+'01_ZALOZENIA'!$E$21)</x:f>
        <x:v>327578.93742959684</x:v>
      </x:c>
      <x:c r="M5" s="53" t="n">
        <x:f>'06_SPRZEDAZ_WYKONANIE'!B16*'06_SPRZEDAZ_WYKONANIE'!$B$18/SUM('06_SPRZEDAZ_WYKONANIE'!$B$5:$B$16)*(1+'01_ZALOZENIA'!$E$6+'01_ZALOZENIA'!$E$20)*(1+'01_ZALOZENIA'!$E$7+'01_ZALOZENIA'!$E$21)</x:f>
        <x:v>240368.91346430258</x:v>
      </x:c>
      <x:c r="N5" s="53" t="n">
        <x:f>SUM(B5:M5)</x:f>
        <x:v>3764938.099858001</x:v>
      </x:c>
    </x:row>
    <x:row r="6">
      <x:c r="A6" s="88" t="str">
        <x:v>Zwroty</x:v>
      </x:c>
      <x:c r="B6" s="51" t="n">
        <x:f>B5*'01_ZALOZENIA'!$E$25</x:f>
        <x:v>7392.808223814445</x:v>
      </x:c>
      <x:c r="C6" s="51" t="n">
        <x:f>C5*'01_ZALOZENIA'!$E$25</x:f>
        <x:v>8221.519066934217</x:v>
      </x:c>
      <x:c r="D6" s="51" t="n">
        <x:f>D5*'01_ZALOZENIA'!$E$25</x:f>
        <x:v>7016.928175721309</x:v>
      </x:c>
      <x:c r="E6" s="51" t="n">
        <x:f>E5*'01_ZALOZENIA'!$E$25</x:f>
        <x:v>8857.322122544869</x:v>
      </x:c>
      <x:c r="F6" s="51" t="n">
        <x:f>F5*'01_ZALOZENIA'!$E$25</x:f>
        <x:v>7423.176183482815</x:v>
      </x:c>
      <x:c r="G6" s="51" t="n">
        <x:f>G5*'01_ZALOZENIA'!$E$25</x:f>
        <x:v>8682.580726290624</x:v>
      </x:c>
      <x:c r="H6" s="51" t="n">
        <x:f>H5*'01_ZALOZENIA'!$E$25</x:f>
        <x:v>9427.264242391862</x:v>
      </x:c>
      <x:c r="I6" s="51" t="n">
        <x:f>I5*'01_ZALOZENIA'!$E$25</x:f>
        <x:v>8575.494801281377</x:v>
      </x:c>
      <x:c r="J6" s="51" t="n">
        <x:f>J5*'01_ZALOZENIA'!$E$25</x:f>
        <x:v>9919.945815866688</x:v>
      </x:c>
      <x:c r="K6" s="51" t="n">
        <x:f>K5*'01_ZALOZENIA'!$E$25</x:f>
        <x:v>8265.59555693116</x:v>
      </x:c>
      <x:c r="L6" s="51" t="n">
        <x:f>L5*'01_ZALOZENIA'!$E$25</x:f>
        <x:v>8584.770169219455</x:v>
      </x:c>
      <x:c r="M6" s="51" t="n">
        <x:f>M5*'01_ZALOZENIA'!$E$25</x:f>
        <x:v>6299.281309438666</x:v>
      </x:c>
      <x:c r="N6" s="51" t="n">
        <x:f>SUM(B6:M6)</x:f>
        <x:v>98666.68639391748</x:v>
      </x:c>
    </x:row>
    <x:row r="7">
      <x:c r="A7" s="87" t="str">
        <x:v>Przychód netto</x:v>
      </x:c>
      <x:c r="B7" s="53" t="n">
        <x:f>B5-B6</x:f>
        <x:v>274703.0679431429</x:v>
      </x:c>
      <x:c r="C7" s="53" t="n">
        <x:f>C5-C6</x:f>
        <x:v>305496.428754184</x:v>
      </x:c>
      <x:c r="D7" s="53" t="n">
        <x:f>D5-D6</x:f>
        <x:v>260736.06118958152</x:v>
      </x:c>
      <x:c r="E7" s="53" t="n">
        <x:f>E5-E6</x:f>
        <x:v>329121.69329455827</x:v>
      </x:c>
      <x:c r="F7" s="53" t="n">
        <x:f>F5-F6</x:f>
        <x:v>275831.48510689434</x:v>
      </x:c>
      <x:c r="G7" s="53" t="n">
        <x:f>G5-G6</x:f>
        <x:v>322628.62649308477</x:v>
      </x:c>
      <x:c r="H7" s="53" t="n">
        <x:f>H5-H6</x:f>
        <x:v>350299.68738449627</x:v>
      </x:c>
      <x:c r="I7" s="53" t="n">
        <x:f>I5-I6</x:f>
        <x:v>318649.5117584689</x:v>
      </x:c>
      <x:c r="J7" s="53" t="n">
        <x:f>J5-J6</x:f>
        <x:v>368606.8225968795</x:v>
      </x:c>
      <x:c r="K7" s="53" t="n">
        <x:f>K5-K6</x:f>
        <x:v>307134.22952755215</x:v>
      </x:c>
      <x:c r="L7" s="53" t="n">
        <x:f>L5-L6</x:f>
        <x:v>318994.1672603774</x:v>
      </x:c>
      <x:c r="M7" s="53" t="n">
        <x:f>M5-M6</x:f>
        <x:v>234069.6321548639</x:v>
      </x:c>
      <x:c r="N7" s="53" t="n">
        <x:f>SUM(B7:M7)</x:f>
        <x:v>3666271.413464084</x:v>
      </x:c>
    </x:row>
    <x:row r="8">
      <x:c r="A8" s="88" t="str">
        <x:v>KWS</x:v>
      </x:c>
      <x:c r="B8" s="51" t="n">
        <x:f>'06_SPRZEDAZ_WYKONANIE'!G5*'06_SPRZEDAZ_WYKONANIE'!$G$18/SUM('06_SPRZEDAZ_WYKONANIE'!$G$5:$G$16)*(1+'01_ZALOZENIA'!$E$6+'01_ZALOZENIA'!$E$20)*(1+'01_ZALOZENIA'!$E$8)</x:f>
        <x:v>172903.48692481488</x:v>
      </x:c>
      <x:c r="C8" s="51" t="n">
        <x:f>'06_SPRZEDAZ_WYKONANIE'!G6*'06_SPRZEDAZ_WYKONANIE'!$G$18/SUM('06_SPRZEDAZ_WYKONANIE'!$G$5:$G$16)*(1+'01_ZALOZENIA'!$E$6+'01_ZALOZENIA'!$E$20)*(1+'01_ZALOZENIA'!$E$8)</x:f>
        <x:v>192285.43084786175</x:v>
      </x:c>
      <x:c r="D8" s="51" t="n">
        <x:f>'06_SPRZEDAZ_WYKONANIE'!G7*'06_SPRZEDAZ_WYKONANIE'!$G$18/SUM('06_SPRZEDAZ_WYKONANIE'!$G$5:$G$16)*(1+'01_ZALOZENIA'!$E$6+'01_ZALOZENIA'!$E$20)*(1+'01_ZALOZENIA'!$E$8)</x:f>
        <x:v>164112.37953866422</x:v>
      </x:c>
      <x:c r="E8" s="51" t="n">
        <x:f>'06_SPRZEDAZ_WYKONANIE'!G8*'06_SPRZEDAZ_WYKONANIE'!$G$18/SUM('06_SPRZEDAZ_WYKONANIE'!$G$5:$G$16)*(1+'01_ZALOZENIA'!$E$6+'01_ZALOZENIA'!$E$20)*(1+'01_ZALOZENIA'!$E$8)</x:f>
        <x:v>207155.63469792355</x:v>
      </x:c>
      <x:c r="F8" s="51" t="n">
        <x:f>'06_SPRZEDAZ_WYKONANIE'!G9*'06_SPRZEDAZ_WYKONANIE'!$G$18/SUM('06_SPRZEDAZ_WYKONANIE'!$G$5:$G$16)*(1+'01_ZALOZENIA'!$E$6+'01_ZALOZENIA'!$E$20)*(1+'01_ZALOZENIA'!$E$8)</x:f>
        <x:v>173613.7347708957</x:v>
      </x:c>
      <x:c r="G8" s="51" t="n">
        <x:f>'06_SPRZEDAZ_WYKONANIE'!G10*'06_SPRZEDAZ_WYKONANIE'!$G$18/SUM('06_SPRZEDAZ_WYKONANIE'!$G$5:$G$16)*(1+'01_ZALOZENIA'!$E$6+'01_ZALOZENIA'!$E$20)*(1+'01_ZALOZENIA'!$E$8)</x:f>
        <x:v>203068.77138323023</x:v>
      </x:c>
      <x:c r="H8" s="51" t="n">
        <x:f>'06_SPRZEDAZ_WYKONANIE'!G11*'06_SPRZEDAZ_WYKONANIE'!$G$18/SUM('06_SPRZEDAZ_WYKONANIE'!$G$5:$G$16)*(1+'01_ZALOZENIA'!$E$6+'01_ZALOZENIA'!$E$20)*(1+'01_ZALOZENIA'!$E$8)</x:f>
        <x:v>220485.47863319877</x:v>
      </x:c>
      <x:c r="I8" s="51" t="n">
        <x:f>'06_SPRZEDAZ_WYKONANIE'!G12*'06_SPRZEDAZ_WYKONANIE'!$G$18/SUM('06_SPRZEDAZ_WYKONANIE'!$G$5:$G$16)*(1+'01_ZALOZENIA'!$E$6+'01_ZALOZENIA'!$E$20)*(1+'01_ZALOZENIA'!$E$8)</x:f>
        <x:v>200564.23869766382</x:v>
      </x:c>
      <x:c r="J8" s="51" t="n">
        <x:f>'06_SPRZEDAZ_WYKONANIE'!G13*'06_SPRZEDAZ_WYKONANIE'!$G$18/SUM('06_SPRZEDAZ_WYKONANIE'!$G$5:$G$16)*(1+'01_ZALOZENIA'!$E$6+'01_ZALOZENIA'!$E$20)*(1+'01_ZALOZENIA'!$E$8)</x:f>
        <x:v>232008.3478079991</x:v>
      </x:c>
      <x:c r="K8" s="51" t="n">
        <x:f>'06_SPRZEDAZ_WYKONANIE'!G14*'06_SPRZEDAZ_WYKONANIE'!$G$18/SUM('06_SPRZEDAZ_WYKONANIE'!$G$5:$G$16)*(1+'01_ZALOZENIA'!$E$6+'01_ZALOZENIA'!$E$20)*(1+'01_ZALOZENIA'!$E$8)</x:f>
        <x:v>193316.29470651413</x:v>
      </x:c>
      <x:c r="L8" s="51" t="n">
        <x:f>'06_SPRZEDAZ_WYKONANIE'!G15*'06_SPRZEDAZ_WYKONANIE'!$G$18/SUM('06_SPRZEDAZ_WYKONANIE'!$G$5:$G$16)*(1+'01_ZALOZENIA'!$E$6+'01_ZALOZENIA'!$E$20)*(1+'01_ZALOZENIA'!$E$8)</x:f>
        <x:v>200781.17161550114</x:v>
      </x:c>
      <x:c r="M8" s="51" t="n">
        <x:f>'06_SPRZEDAZ_WYKONANIE'!G16*'06_SPRZEDAZ_WYKONANIE'!$G$18/SUM('06_SPRZEDAZ_WYKONANIE'!$G$5:$G$16)*(1+'01_ZALOZENIA'!$E$6+'01_ZALOZENIA'!$E$20)*(1+'01_ZALOZENIA'!$E$8)</x:f>
        <x:v>147328.00724002608</x:v>
      </x:c>
      <x:c r="N8" s="51" t="n">
        <x:f>SUM(B8:M8)</x:f>
        <x:v>2307622.9768642937</x:v>
      </x:c>
    </x:row>
    <x:row r="9">
      <x:c r="A9" s="89" t="str">
        <x:v>Marża brutto</x:v>
      </x:c>
      <x:c r="B9" s="91" t="n">
        <x:f>B7-B8</x:f>
        <x:v>101799.58101832803</x:v>
      </x:c>
      <x:c r="C9" s="91" t="n">
        <x:f>C7-C8</x:f>
        <x:v>113210.99790632224</x:v>
      </x:c>
      <x:c r="D9" s="91" t="n">
        <x:f>D7-D8</x:f>
        <x:v>96623.68165091731</x:v>
      </x:c>
      <x:c r="E9" s="91" t="n">
        <x:f>E7-E8</x:f>
        <x:v>121966.05859663471</x:v>
      </x:c>
      <x:c r="F9" s="91" t="n">
        <x:f>F7-F8</x:f>
        <x:v>102217.75033599863</x:v>
      </x:c>
      <x:c r="G9" s="91" t="n">
        <x:f>G7-G8</x:f>
        <x:v>119559.85510985454</x:v>
      </x:c>
      <x:c r="H9" s="91" t="n">
        <x:f>H7-H8</x:f>
        <x:v>129814.2087512975</x:v>
      </x:c>
      <x:c r="I9" s="91" t="n">
        <x:f>I7-I8</x:f>
        <x:v>118085.2730608051</x:v>
      </x:c>
      <x:c r="J9" s="91" t="n">
        <x:f>J7-J8</x:f>
        <x:v>136598.4747888804</x:v>
      </x:c>
      <x:c r="K9" s="91" t="n">
        <x:f>K7-K8</x:f>
        <x:v>113817.93482103801</x:v>
      </x:c>
      <x:c r="L9" s="91" t="n">
        <x:f>L7-L8</x:f>
        <x:v>118212.99564487624</x:v>
      </x:c>
      <x:c r="M9" s="91" t="n">
        <x:f>M7-M8</x:f>
        <x:v>86741.62491483783</x:v>
      </x:c>
      <x:c r="N9" s="91" t="n">
        <x:f>SUM(B9:M9)</x:f>
        <x:v>1358648.4365997908</x:v>
      </x:c>
    </x:row>
    <x:row r="10">
      <x:c r="A10" s="89" t="str">
        <x:v>Marża brutto %</x:v>
      </x:c>
      <x:c r="B10" s="92" t="n">
        <x:f>IFERROR(B9/B7,0)</x:f>
        <x:v>0.3705804299185991</x:v>
      </x:c>
      <x:c r="C10" s="92" t="n">
        <x:f>IFERROR(C9/C7,0)</x:f>
        <x:v>0.3705804299185993</x:v>
      </x:c>
      <x:c r="D10" s="92" t="n">
        <x:f>IFERROR(D9/D7,0)</x:f>
        <x:v>0.3705804299185992</x:v>
      </x:c>
      <x:c r="E10" s="92" t="n">
        <x:f>IFERROR(E9/E7,0)</x:f>
        <x:v>0.3705804299185991</x:v>
      </x:c>
      <x:c r="F10" s="92" t="n">
        <x:f>IFERROR(F9/F7,0)</x:f>
        <x:v>0.3705804299185993</x:v>
      </x:c>
      <x:c r="G10" s="92" t="n">
        <x:f>IFERROR(G9/G7,0)</x:f>
        <x:v>0.3705804299185993</x:v>
      </x:c>
      <x:c r="H10" s="92" t="n">
        <x:f>IFERROR(H9/H7,0)</x:f>
        <x:v>0.37058042991859913</x:v>
      </x:c>
      <x:c r="I10" s="92" t="n">
        <x:f>IFERROR(I9/I7,0)</x:f>
        <x:v>0.3705804299185991</x:v>
      </x:c>
      <x:c r="J10" s="92" t="n">
        <x:f>IFERROR(J9/J7,0)</x:f>
        <x:v>0.37058042991859913</x:v>
      </x:c>
      <x:c r="K10" s="92" t="n">
        <x:f>IFERROR(K9/K7,0)</x:f>
        <x:v>0.37058042991859924</x:v>
      </x:c>
      <x:c r="L10" s="92" t="n">
        <x:f>IFERROR(L9/L7,0)</x:f>
        <x:v>0.37058042991859935</x:v>
      </x:c>
      <x:c r="M10" s="92" t="n">
        <x:f>IFERROR(M9/M7,0)</x:f>
        <x:v>0.37058042991859913</x:v>
      </x:c>
      <x:c r="N10" s="92" t="n">
        <x:f>IFERROR(N9/N7,0)</x:f>
        <x:v>0.3705804299185993</x:v>
      </x:c>
    </x:row>
    <x:row r="11">
      <x:c r="A11" s="87" t="str">
        <x:v>Marketing</x:v>
      </x:c>
      <x:c r="B11" s="53" t="n">
        <x:f>'18_KOSZTY_OPEX'!B22</x:f>
        <x:v>10988.122717725717</x:v>
      </x:c>
      <x:c r="C11" s="53" t="n">
        <x:f>'18_KOSZTY_OPEX'!C22</x:f>
        <x:v>12219.85715016736</x:v>
      </x:c>
      <x:c r="D11" s="53" t="n">
        <x:f>'18_KOSZTY_OPEX'!D22</x:f>
        <x:v>10429.442447583262</x:v>
      </x:c>
      <x:c r="E11" s="53" t="n">
        <x:f>'18_KOSZTY_OPEX'!E22</x:f>
        <x:v>13164.867731782331</x:v>
      </x:c>
      <x:c r="F11" s="53" t="n">
        <x:f>'18_KOSZTY_OPEX'!F22</x:f>
        <x:v>11033.259404275774</x:v>
      </x:c>
      <x:c r="G11" s="53" t="n">
        <x:f>'18_KOSZTY_OPEX'!G22</x:f>
        <x:v>12905.14505972339</x:v>
      </x:c>
      <x:c r="H11" s="53" t="n">
        <x:f>'18_KOSZTY_OPEX'!H22</x:f>
        <x:v>14011.987495379852</x:v>
      </x:c>
      <x:c r="I11" s="53" t="n">
        <x:f>'18_KOSZTY_OPEX'!I22</x:f>
        <x:v>12745.980470338758</x:v>
      </x:c>
      <x:c r="J11" s="53" t="n">
        <x:f>'18_KOSZTY_OPEX'!J22</x:f>
        <x:v>14744.27290387518</x:v>
      </x:c>
      <x:c r="K11" s="53" t="n">
        <x:f>'18_KOSZTY_OPEX'!K22</x:f>
        <x:v>12285.369181102085</x:v>
      </x:c>
      <x:c r="L11" s="53" t="n">
        <x:f>'18_KOSZTY_OPEX'!L22</x:f>
        <x:v>12759.766690415096</x:v>
      </x:c>
      <x:c r="M11" s="53" t="n">
        <x:f>'18_KOSZTY_OPEX'!M22</x:f>
        <x:v>9362.785286194556</x:v>
      </x:c>
      <x:c r="N11" s="53" t="n">
        <x:f>SUM(B11:M11)</x:f>
        <x:v>146650.85653856338</x:v>
      </x:c>
    </x:row>
    <x:row r="12">
      <x:c r="A12" s="88" t="str">
        <x:v>Wynagrodzenia</x:v>
      </x:c>
      <x:c r="B12" s="51" t="n">
        <x:f>'18_KOSZTY_OPEX'!B23</x:f>
        <x:v>46994.4</x:v>
      </x:c>
      <x:c r="C12" s="51" t="n">
        <x:f>'18_KOSZTY_OPEX'!C23</x:f>
        <x:v>46994.4</x:v>
      </x:c>
      <x:c r="D12" s="51" t="n">
        <x:f>'18_KOSZTY_OPEX'!D23</x:f>
        <x:v>46994.4</x:v>
      </x:c>
      <x:c r="E12" s="51" t="n">
        <x:f>'18_KOSZTY_OPEX'!E23</x:f>
        <x:v>46994.4</x:v>
      </x:c>
      <x:c r="F12" s="51" t="n">
        <x:f>'18_KOSZTY_OPEX'!F23</x:f>
        <x:v>46994.4</x:v>
      </x:c>
      <x:c r="G12" s="51" t="n">
        <x:f>'18_KOSZTY_OPEX'!G23</x:f>
        <x:v>46994.4</x:v>
      </x:c>
      <x:c r="H12" s="51" t="n">
        <x:f>'18_KOSZTY_OPEX'!H23</x:f>
        <x:v>49459.68</x:v>
      </x:c>
      <x:c r="I12" s="51" t="n">
        <x:f>'18_KOSZTY_OPEX'!I23</x:f>
        <x:v>49459.68</x:v>
      </x:c>
      <x:c r="J12" s="51" t="n">
        <x:f>'18_KOSZTY_OPEX'!J23</x:f>
        <x:v>51000.48</x:v>
      </x:c>
      <x:c r="K12" s="51" t="n">
        <x:f>'18_KOSZTY_OPEX'!K23</x:f>
        <x:v>52849.44</x:v>
      </x:c>
      <x:c r="L12" s="51" t="n">
        <x:f>'18_KOSZTY_OPEX'!L23</x:f>
        <x:v>52849.44</x:v>
      </x:c>
      <x:c r="M12" s="51" t="n">
        <x:f>'18_KOSZTY_OPEX'!M23</x:f>
        <x:v>52849.44</x:v>
      </x:c>
      <x:c r="N12" s="51" t="n">
        <x:f>SUM(B12:M12)</x:f>
        <x:v>590434.56</x:v>
      </x:c>
    </x:row>
    <x:row r="13">
      <x:c r="A13" s="87" t="str">
        <x:v>Logistyka</x:v>
      </x:c>
      <x:c r="B13" s="53" t="n">
        <x:f>'18_KOSZTY_OPEX'!B24</x:f>
        <x:v>1748.9377709330206</x:v>
      </x:c>
      <x:c r="C13" s="53" t="n">
        <x:f>'18_KOSZTY_OPEX'!C24</x:f>
        <x:v>1944.988263632816</x:v>
      </x:c>
      <x:c r="D13" s="53" t="n">
        <x:f>'18_KOSZTY_OPEX'!D24</x:f>
        <x:v>1660.014753650826</x:v>
      </x:c>
      <x:c r="E13" s="53" t="n">
        <x:f>'18_KOSZTY_OPEX'!E24</x:f>
        <x:v>2095.4020096907857</x:v>
      </x:c>
      <x:c r="F13" s="53" t="n">
        <x:f>'18_KOSZTY_OPEX'!F24</x:f>
        <x:v>1756.122005946597</x:v>
      </x:c>
      <x:c r="G13" s="53" t="n">
        <x:f>'18_KOSZTY_OPEX'!G24</x:f>
        <x:v>2054.0629381495874</x:v>
      </x:c>
      <x:c r="H13" s="53" t="n">
        <x:f>'18_KOSZTY_OPEX'!H24</x:f>
        <x:v>2230.2348459376494</x:v>
      </x:c>
      <x:c r="I13" s="53" t="n">
        <x:f>'18_KOSZTY_OPEX'!I24</x:f>
        <x:v>2028.7293148072881</x:v>
      </x:c>
      <x:c r="J13" s="53" t="n">
        <x:f>'18_KOSZTY_OPEX'!J24</x:f>
        <x:v>2346.7899339104633</x:v>
      </x:c>
      <x:c r="K13" s="53" t="n">
        <x:f>'18_KOSZTY_OPEX'!K24</x:f>
        <x:v>1955.4155648466474</x:v>
      </x:c>
      <x:c r="L13" s="53" t="n">
        <x:f>'18_KOSZTY_OPEX'!L24</x:f>
        <x:v>2030.9236151103778</x:v>
      </x:c>
      <x:c r="M13" s="53" t="n">
        <x:f>'18_KOSZTY_OPEX'!M24</x:f>
        <x:v>1490.2389833839436</x:v>
      </x:c>
      <x:c r="N13" s="53" t="n">
        <x:f>SUM(B13:M13)</x:f>
        <x:v>23341.860000000004</x:v>
      </x:c>
    </x:row>
    <x:row r="14">
      <x:c r="A14" s="88" t="str">
        <x:v>Czynsz i media</x:v>
      </x:c>
      <x:c r="B14" s="51" t="n">
        <x:f>'18_KOSZTY_OPEX'!B25</x:f>
        <x:v>16222.5</x:v>
      </x:c>
      <x:c r="C14" s="51" t="n">
        <x:f>'18_KOSZTY_OPEX'!C25</x:f>
        <x:v>16222.5</x:v>
      </x:c>
      <x:c r="D14" s="51" t="n">
        <x:f>'18_KOSZTY_OPEX'!D25</x:f>
        <x:v>16222.5</x:v>
      </x:c>
      <x:c r="E14" s="51" t="n">
        <x:f>'18_KOSZTY_OPEX'!E25</x:f>
        <x:v>16222.5</x:v>
      </x:c>
      <x:c r="F14" s="51" t="n">
        <x:f>'18_KOSZTY_OPEX'!F25</x:f>
        <x:v>16222.5</x:v>
      </x:c>
      <x:c r="G14" s="51" t="n">
        <x:f>'18_KOSZTY_OPEX'!G25</x:f>
        <x:v>16222.5</x:v>
      </x:c>
      <x:c r="H14" s="51" t="n">
        <x:f>'18_KOSZTY_OPEX'!H25</x:f>
        <x:v>16222.5</x:v>
      </x:c>
      <x:c r="I14" s="51" t="n">
        <x:f>'18_KOSZTY_OPEX'!I25</x:f>
        <x:v>16222.5</x:v>
      </x:c>
      <x:c r="J14" s="51" t="n">
        <x:f>'18_KOSZTY_OPEX'!J25</x:f>
        <x:v>16222.5</x:v>
      </x:c>
      <x:c r="K14" s="51" t="n">
        <x:f>'18_KOSZTY_OPEX'!K25</x:f>
        <x:v>16222.5</x:v>
      </x:c>
      <x:c r="L14" s="51" t="n">
        <x:f>'18_KOSZTY_OPEX'!L25</x:f>
        <x:v>16222.5</x:v>
      </x:c>
      <x:c r="M14" s="51" t="n">
        <x:f>'18_KOSZTY_OPEX'!M25</x:f>
        <x:v>16222.5</x:v>
      </x:c>
      <x:c r="N14" s="51" t="n">
        <x:f>SUM(B14:M14)</x:f>
        <x:v>194670</x:v>
      </x:c>
    </x:row>
    <x:row r="15">
      <x:c r="A15" s="87" t="str">
        <x:v>IT</x:v>
      </x:c>
      <x:c r="B15" s="53" t="n">
        <x:f>'18_KOSZTY_OPEX'!B26</x:f>
        <x:v>6004.900000000001</x:v>
      </x:c>
      <x:c r="C15" s="53" t="n">
        <x:f>'18_KOSZTY_OPEX'!C26</x:f>
        <x:v>6004.900000000001</x:v>
      </x:c>
      <x:c r="D15" s="53" t="n">
        <x:f>'18_KOSZTY_OPEX'!D26</x:f>
        <x:v>6004.900000000001</x:v>
      </x:c>
      <x:c r="E15" s="53" t="n">
        <x:f>'18_KOSZTY_OPEX'!E26</x:f>
        <x:v>6004.900000000001</x:v>
      </x:c>
      <x:c r="F15" s="53" t="n">
        <x:f>'18_KOSZTY_OPEX'!F26</x:f>
        <x:v>6004.900000000001</x:v>
      </x:c>
      <x:c r="G15" s="53" t="n">
        <x:f>'18_KOSZTY_OPEX'!G26</x:f>
        <x:v>6004.900000000001</x:v>
      </x:c>
      <x:c r="H15" s="53" t="n">
        <x:f>'18_KOSZTY_OPEX'!H26</x:f>
        <x:v>6004.900000000001</x:v>
      </x:c>
      <x:c r="I15" s="53" t="n">
        <x:f>'18_KOSZTY_OPEX'!I26</x:f>
        <x:v>6004.900000000001</x:v>
      </x:c>
      <x:c r="J15" s="53" t="n">
        <x:f>'18_KOSZTY_OPEX'!J26</x:f>
        <x:v>6004.900000000001</x:v>
      </x:c>
      <x:c r="K15" s="53" t="n">
        <x:f>'18_KOSZTY_OPEX'!K26</x:f>
        <x:v>6004.900000000001</x:v>
      </x:c>
      <x:c r="L15" s="53" t="n">
        <x:f>'18_KOSZTY_OPEX'!L26</x:f>
        <x:v>6004.900000000001</x:v>
      </x:c>
      <x:c r="M15" s="53" t="n">
        <x:f>'18_KOSZTY_OPEX'!M26</x:f>
        <x:v>6004.900000000001</x:v>
      </x:c>
      <x:c r="N15" s="53" t="n">
        <x:f>SUM(B15:M15)</x:f>
        <x:v>72058.8</x:v>
      </x:c>
    </x:row>
    <x:row r="16">
      <x:c r="A16" s="88" t="str">
        <x:v>Usługi profesjonalne</x:v>
      </x:c>
      <x:c r="B16" s="51" t="n">
        <x:f>'18_KOSZTY_OPEX'!B27</x:f>
        <x:v>2729.5</x:v>
      </x:c>
      <x:c r="C16" s="51" t="n">
        <x:f>'18_KOSZTY_OPEX'!C27</x:f>
        <x:v>2729.5</x:v>
      </x:c>
      <x:c r="D16" s="51" t="n">
        <x:f>'18_KOSZTY_OPEX'!D27</x:f>
        <x:v>2729.5</x:v>
      </x:c>
      <x:c r="E16" s="51" t="n">
        <x:f>'18_KOSZTY_OPEX'!E27</x:f>
        <x:v>2729.5</x:v>
      </x:c>
      <x:c r="F16" s="51" t="n">
        <x:f>'18_KOSZTY_OPEX'!F27</x:f>
        <x:v>2729.5</x:v>
      </x:c>
      <x:c r="G16" s="51" t="n">
        <x:f>'18_KOSZTY_OPEX'!G27</x:f>
        <x:v>2729.5</x:v>
      </x:c>
      <x:c r="H16" s="51" t="n">
        <x:f>'18_KOSZTY_OPEX'!H27</x:f>
        <x:v>2729.5</x:v>
      </x:c>
      <x:c r="I16" s="51" t="n">
        <x:f>'18_KOSZTY_OPEX'!I27</x:f>
        <x:v>2729.5</x:v>
      </x:c>
      <x:c r="J16" s="51" t="n">
        <x:f>'18_KOSZTY_OPEX'!J27</x:f>
        <x:v>2729.5</x:v>
      </x:c>
      <x:c r="K16" s="51" t="n">
        <x:f>'18_KOSZTY_OPEX'!K27</x:f>
        <x:v>2729.5</x:v>
      </x:c>
      <x:c r="L16" s="51" t="n">
        <x:f>'18_KOSZTY_OPEX'!L27</x:f>
        <x:v>2729.5</x:v>
      </x:c>
      <x:c r="M16" s="51" t="n">
        <x:f>'18_KOSZTY_OPEX'!M27</x:f>
        <x:v>2729.5</x:v>
      </x:c>
      <x:c r="N16" s="51" t="n">
        <x:f>SUM(B16:M16)</x:f>
        <x:v>32754</x:v>
      </x:c>
    </x:row>
    <x:row r="17">
      <x:c r="A17" s="87" t="str">
        <x:v>Podróże</x:v>
      </x:c>
      <x:c r="B17" s="53" t="n">
        <x:f>'18_KOSZTY_OPEX'!B28</x:f>
        <x:v>1310.16</x:v>
      </x:c>
      <x:c r="C17" s="53" t="n">
        <x:f>'18_KOSZTY_OPEX'!C28</x:f>
        <x:v>1310.16</x:v>
      </x:c>
      <x:c r="D17" s="53" t="n">
        <x:f>'18_KOSZTY_OPEX'!D28</x:f>
        <x:v>1310.16</x:v>
      </x:c>
      <x:c r="E17" s="53" t="n">
        <x:f>'18_KOSZTY_OPEX'!E28</x:f>
        <x:v>1310.16</x:v>
      </x:c>
      <x:c r="F17" s="53" t="n">
        <x:f>'18_KOSZTY_OPEX'!F28</x:f>
        <x:v>1310.16</x:v>
      </x:c>
      <x:c r="G17" s="53" t="n">
        <x:f>'18_KOSZTY_OPEX'!G28</x:f>
        <x:v>1310.16</x:v>
      </x:c>
      <x:c r="H17" s="53" t="n">
        <x:f>'18_KOSZTY_OPEX'!H28</x:f>
        <x:v>1310.16</x:v>
      </x:c>
      <x:c r="I17" s="53" t="n">
        <x:f>'18_KOSZTY_OPEX'!I28</x:f>
        <x:v>1310.16</x:v>
      </x:c>
      <x:c r="J17" s="53" t="n">
        <x:f>'18_KOSZTY_OPEX'!J28</x:f>
        <x:v>1310.16</x:v>
      </x:c>
      <x:c r="K17" s="53" t="n">
        <x:f>'18_KOSZTY_OPEX'!K28</x:f>
        <x:v>1310.16</x:v>
      </x:c>
      <x:c r="L17" s="53" t="n">
        <x:f>'18_KOSZTY_OPEX'!L28</x:f>
        <x:v>1310.16</x:v>
      </x:c>
      <x:c r="M17" s="53" t="n">
        <x:f>'18_KOSZTY_OPEX'!M28</x:f>
        <x:v>1310.16</x:v>
      </x:c>
      <x:c r="N17" s="53" t="n">
        <x:f>SUM(B17:M17)</x:f>
        <x:v>15721.92</x:v>
      </x:c>
    </x:row>
    <x:row r="18">
      <x:c r="A18" s="88" t="str">
        <x:v>Pozostały OPEX</x:v>
      </x:c>
      <x:c r="B18" s="51" t="n">
        <x:f>'18_KOSZTY_OPEX'!B29</x:f>
        <x:v>1965.24</x:v>
      </x:c>
      <x:c r="C18" s="51" t="n">
        <x:f>'18_KOSZTY_OPEX'!C29</x:f>
        <x:v>1965.24</x:v>
      </x:c>
      <x:c r="D18" s="51" t="n">
        <x:f>'18_KOSZTY_OPEX'!D29</x:f>
        <x:v>1965.24</x:v>
      </x:c>
      <x:c r="E18" s="51" t="n">
        <x:f>'18_KOSZTY_OPEX'!E29</x:f>
        <x:v>1965.24</x:v>
      </x:c>
      <x:c r="F18" s="51" t="n">
        <x:f>'18_KOSZTY_OPEX'!F29</x:f>
        <x:v>1965.24</x:v>
      </x:c>
      <x:c r="G18" s="51" t="n">
        <x:f>'18_KOSZTY_OPEX'!G29</x:f>
        <x:v>1965.24</x:v>
      </x:c>
      <x:c r="H18" s="51" t="n">
        <x:f>'18_KOSZTY_OPEX'!H29</x:f>
        <x:v>1965.24</x:v>
      </x:c>
      <x:c r="I18" s="51" t="n">
        <x:f>'18_KOSZTY_OPEX'!I29</x:f>
        <x:v>1965.24</x:v>
      </x:c>
      <x:c r="J18" s="51" t="n">
        <x:f>'18_KOSZTY_OPEX'!J29</x:f>
        <x:v>1965.24</x:v>
      </x:c>
      <x:c r="K18" s="51" t="n">
        <x:f>'18_KOSZTY_OPEX'!K29</x:f>
        <x:v>1965.24</x:v>
      </x:c>
      <x:c r="L18" s="51" t="n">
        <x:f>'18_KOSZTY_OPEX'!L29</x:f>
        <x:v>1965.24</x:v>
      </x:c>
      <x:c r="M18" s="51" t="n">
        <x:f>'18_KOSZTY_OPEX'!M29</x:f>
        <x:v>1965.24</x:v>
      </x:c>
      <x:c r="N18" s="51" t="n">
        <x:f>SUM(B18:M18)</x:f>
        <x:v>23582.880000000005</x:v>
      </x:c>
    </x:row>
    <x:row r="19">
      <x:c r="A19" s="89" t="str">
        <x:v>EBITDA</x:v>
      </x:c>
      <x:c r="B19" s="91" t="n">
        <x:f>B9-SUM(B11:B18)</x:f>
        <x:v>13835.820529669276</x:v>
      </x:c>
      <x:c r="C19" s="91" t="n">
        <x:f>C9-SUM(C11:C18)</x:f>
        <x:v>23819.45249252206</x:v>
      </x:c>
      <x:c r="D19" s="91" t="n">
        <x:f>D9-SUM(D11:D18)</x:f>
        <x:v>9307.524449683217</x:v>
      </x:c>
      <x:c r="E19" s="91" t="n">
        <x:f>E9-SUM(E11:E18)</x:f>
        <x:v>31479.088855161594</x:v>
      </x:c>
      <x:c r="F19" s="91" t="n">
        <x:f>F9-SUM(F11:F18)</x:f>
        <x:v>14201.668925776248</x:v>
      </x:c>
      <x:c r="G19" s="91" t="n">
        <x:f>G9-SUM(G11:G18)</x:f>
        <x:v>29373.947111981557</x:v>
      </x:c>
      <x:c r="H19" s="91" t="n">
        <x:f>H9-SUM(H11:H18)</x:f>
        <x:v>35880.00640997999</x:v>
      </x:c>
      <x:c r="I19" s="91" t="n">
        <x:f>I9-SUM(I11:I18)</x:f>
        <x:v>25618.583275659053</x:v>
      </x:c>
      <x:c r="J19" s="91" t="n">
        <x:f>J9-SUM(J11:J18)</x:f>
        <x:v>40274.631951094765</x:v>
      </x:c>
      <x:c r="K19" s="91" t="n">
        <x:f>K9-SUM(K11:K18)</x:f>
        <x:v>18495.410075089283</x:v>
      </x:c>
      <x:c r="L19" s="91" t="n">
        <x:f>L9-SUM(L11:L18)</x:f>
        <x:v>22340.565339350753</x:v>
      </x:c>
      <x:c r="M19" s="91" t="n">
        <x:f>M9-SUM(M11:M18)</x:f>
        <x:v>-5193.139354740677</x:v>
      </x:c>
      <x:c r="N19" s="91" t="n">
        <x:f>SUM(B19:M19)</x:f>
        <x:v>259433.56006122712</x:v>
      </x:c>
    </x:row>
    <x:row r="20">
      <x:c r="A20" s="89" t="str">
        <x:v>Marża EBITDA</x:v>
      </x:c>
      <x:c r="B20" s="92" t="n">
        <x:f>IFERROR(B19/B7,0)</x:f>
        <x:v>0.05036645798412767</x:v>
      </x:c>
      <x:c r="C20" s="92" t="n">
        <x:f>IFERROR(C19/C7,0)</x:f>
        <x:v>0.07796965938246124</x:v>
      </x:c>
      <x:c r="D20" s="92" t="n">
        <x:f>IFERROR(D19/D7,0)</x:f>
        <x:v>0.035697112272152116</x:v>
      </x:c>
      <x:c r="E20" s="92" t="n">
        <x:f>IFERROR(E19/E7,0)</x:f>
        <x:v>0.09564574288632001</x:v>
      </x:c>
      <x:c r="F20" s="92" t="n">
        <x:f>IFERROR(F19/F7,0)</x:f>
        <x:v>0.05148675801195286</x:v>
      </x:c>
      <x:c r="G20" s="92" t="n">
        <x:f>IFERROR(G19/G7,0)</x:f>
        <x:v>0.0910456937168629</x:v>
      </x:c>
      <x:c r="H20" s="92" t="n">
        <x:f>IFERROR(H19/H7,0)</x:f>
        <x:v>0.10242660128496589</x:v>
      </x:c>
      <x:c r="I20" s="92" t="n">
        <x:f>IFERROR(I19/I7,0)</x:f>
        <x:v>0.08039737181545571</x:v>
      </x:c>
      <x:c r="J20" s="92" t="n">
        <x:f>IFERROR(J19/J7,0)</x:f>
        <x:v>0.10926176479142499</x:v>
      </x:c>
      <x:c r="K20" s="92" t="n">
        <x:f>IFERROR(K19/K7,0)</x:f>
        <x:v>0.06021930575286175</x:v>
      </x:c>
      <x:c r="L20" s="92" t="n">
        <x:f>IFERROR(L19/L7,0)</x:f>
        <x:v>0.07003440072656683</x:v>
      </x:c>
      <x:c r="M20" s="92" t="n">
        <x:f>IFERROR(M19/M7,0)</x:f>
        <x:v>-0.02218630117427971</x:v>
      </x:c>
      <x:c r="N20" s="92" t="n">
        <x:f>IFERROR(N19/N7,0)</x:f>
        <x:v>0.07076223519853944</x:v>
      </x:c>
    </x:row>
    <x:row r="21">
      <x:c r="A21" s="87" t="str">
        <x:v>Amortyzacja</x:v>
      </x:c>
      <x:c r="B21" s="53" t="n">
        <x:f>'17_CAPEX'!B31</x:f>
        <x:v>4666.666666666667</x:v>
      </x:c>
      <x:c r="C21" s="53" t="n">
        <x:f>'17_CAPEX'!C31</x:f>
        <x:v>6333.333333333334</x:v>
      </x:c>
      <x:c r="D21" s="53" t="n">
        <x:f>'17_CAPEX'!D31</x:f>
        <x:v>6333.333333333334</x:v>
      </x:c>
      <x:c r="E21" s="53" t="n">
        <x:f>'17_CAPEX'!E31</x:f>
        <x:v>6333.333333333334</x:v>
      </x:c>
      <x:c r="F21" s="53" t="n">
        <x:f>'17_CAPEX'!F31</x:f>
        <x:v>6333.333333333334</x:v>
      </x:c>
      <x:c r="G21" s="53" t="n">
        <x:f>'17_CAPEX'!G31</x:f>
        <x:v>7583.333333333334</x:v>
      </x:c>
      <x:c r="H21" s="53" t="n">
        <x:f>'17_CAPEX'!H31</x:f>
        <x:v>7583.333333333334</x:v>
      </x:c>
      <x:c r="I21" s="53" t="n">
        <x:f>'17_CAPEX'!I31</x:f>
        <x:v>7583.333333333334</x:v>
      </x:c>
      <x:c r="J21" s="53" t="n">
        <x:f>'17_CAPEX'!J31</x:f>
        <x:v>7583.333333333334</x:v>
      </x:c>
      <x:c r="K21" s="53" t="n">
        <x:f>'17_CAPEX'!K31</x:f>
        <x:v>10083.333333333334</x:v>
      </x:c>
      <x:c r="L21" s="53" t="n">
        <x:f>'17_CAPEX'!L31</x:f>
        <x:v>10083.333333333334</x:v>
      </x:c>
      <x:c r="M21" s="53" t="n">
        <x:f>'17_CAPEX'!M31</x:f>
        <x:v>10916.666666666668</x:v>
      </x:c>
      <x:c r="N21" s="53" t="n">
        <x:f>SUM(B21:M21)</x:f>
        <x:v>91416.66666666669</x:v>
      </x:c>
    </x:row>
    <x:row r="22">
      <x:c r="A22" s="88" t="str">
        <x:v>EBIT</x:v>
      </x:c>
      <x:c r="B22" s="51" t="n">
        <x:f>B19-B21</x:f>
        <x:v>9169.153863002608</x:v>
      </x:c>
      <x:c r="C22" s="51" t="n">
        <x:f>C19-C21</x:f>
        <x:v>17486.119159188725</x:v>
      </x:c>
      <x:c r="D22" s="51" t="n">
        <x:f>D19-D21</x:f>
        <x:v>2974.1911163498826</x:v>
      </x:c>
      <x:c r="E22" s="51" t="n">
        <x:f>E19-E21</x:f>
        <x:v>25145.755521828258</x:v>
      </x:c>
      <x:c r="F22" s="51" t="n">
        <x:f>F19-F21</x:f>
        <x:v>7868.335592442914</x:v>
      </x:c>
      <x:c r="G22" s="51" t="n">
        <x:f>G19-G21</x:f>
        <x:v>21790.61377864822</x:v>
      </x:c>
      <x:c r="H22" s="51" t="n">
        <x:f>H19-H21</x:f>
        <x:v>28296.673076646657</x:v>
      </x:c>
      <x:c r="I22" s="51" t="n">
        <x:f>I19-I21</x:f>
        <x:v>18035.249942325718</x:v>
      </x:c>
      <x:c r="J22" s="51" t="n">
        <x:f>J19-J21</x:f>
        <x:v>32691.29861776143</x:v>
      </x:c>
      <x:c r="K22" s="51" t="n">
        <x:f>K19-K21</x:f>
        <x:v>8412.07674175595</x:v>
      </x:c>
      <x:c r="L22" s="51" t="n">
        <x:f>L19-L21</x:f>
        <x:v>12257.232006017419</x:v>
      </x:c>
      <x:c r="M22" s="51" t="n">
        <x:f>M19-M21</x:f>
        <x:v>-16109.806021407345</x:v>
      </x:c>
      <x:c r="N22" s="51" t="n">
        <x:f>SUM(B22:M22)</x:f>
        <x:v>168016.89339456044</x:v>
      </x:c>
    </x:row>
    <x:row r="23">
      <x:c r="A23" s="87" t="str">
        <x:v>Odsetki</x:v>
      </x:c>
      <x:c r="B23" s="53" t="n">
        <x:f>'01_ZALOZENIA'!$E$23</x:f>
        <x:v>5000</x:v>
      </x:c>
      <x:c r="C23" s="53" t="n">
        <x:f>'01_ZALOZENIA'!$E$23</x:f>
        <x:v>5000</x:v>
      </x:c>
      <x:c r="D23" s="53" t="n">
        <x:f>'01_ZALOZENIA'!$E$23</x:f>
        <x:v>5000</x:v>
      </x:c>
      <x:c r="E23" s="53" t="n">
        <x:f>'01_ZALOZENIA'!$E$23</x:f>
        <x:v>5000</x:v>
      </x:c>
      <x:c r="F23" s="53" t="n">
        <x:f>'01_ZALOZENIA'!$E$23</x:f>
        <x:v>5000</x:v>
      </x:c>
      <x:c r="G23" s="53" t="n">
        <x:f>'01_ZALOZENIA'!$E$23</x:f>
        <x:v>5000</x:v>
      </x:c>
      <x:c r="H23" s="53" t="n">
        <x:f>'01_ZALOZENIA'!$E$23</x:f>
        <x:v>5000</x:v>
      </x:c>
      <x:c r="I23" s="53" t="n">
        <x:f>'01_ZALOZENIA'!$E$23</x:f>
        <x:v>5000</x:v>
      </x:c>
      <x:c r="J23" s="53" t="n">
        <x:f>'01_ZALOZENIA'!$E$23</x:f>
        <x:v>5000</x:v>
      </x:c>
      <x:c r="K23" s="53" t="n">
        <x:f>'01_ZALOZENIA'!$E$23</x:f>
        <x:v>5000</x:v>
      </x:c>
      <x:c r="L23" s="53" t="n">
        <x:f>'01_ZALOZENIA'!$E$23</x:f>
        <x:v>5000</x:v>
      </x:c>
      <x:c r="M23" s="53" t="n">
        <x:f>'01_ZALOZENIA'!$E$23</x:f>
        <x:v>5000</x:v>
      </x:c>
      <x:c r="N23" s="53" t="n">
        <x:f>SUM(B23:M23)</x:f>
        <x:v>60000</x:v>
      </x:c>
    </x:row>
    <x:row r="24">
      <x:c r="A24" s="88" t="str">
        <x:v>EBT</x:v>
      </x:c>
      <x:c r="B24" s="51" t="n">
        <x:f>B22-B23</x:f>
        <x:v>4169.153863002608</x:v>
      </x:c>
      <x:c r="C24" s="51" t="n">
        <x:f>C22-C23</x:f>
        <x:v>12486.119159188725</x:v>
      </x:c>
      <x:c r="D24" s="51" t="n">
        <x:f>D22-D23</x:f>
        <x:v>-2025.8088836501174</x:v>
      </x:c>
      <x:c r="E24" s="51" t="n">
        <x:f>E22-E23</x:f>
        <x:v>20145.755521828258</x:v>
      </x:c>
      <x:c r="F24" s="51" t="n">
        <x:f>F22-F23</x:f>
        <x:v>2868.3355924429143</x:v>
      </x:c>
      <x:c r="G24" s="51" t="n">
        <x:f>G22-G23</x:f>
        <x:v>16790.61377864822</x:v>
      </x:c>
      <x:c r="H24" s="51" t="n">
        <x:f>H22-H23</x:f>
        <x:v>23296.673076646657</x:v>
      </x:c>
      <x:c r="I24" s="51" t="n">
        <x:f>I22-I23</x:f>
        <x:v>13035.249942325718</x:v>
      </x:c>
      <x:c r="J24" s="51" t="n">
        <x:f>J22-J23</x:f>
        <x:v>27691.29861776143</x:v>
      </x:c>
      <x:c r="K24" s="51" t="n">
        <x:f>K22-K23</x:f>
        <x:v>3412.076741755949</x:v>
      </x:c>
      <x:c r="L24" s="51" t="n">
        <x:f>L22-L23</x:f>
        <x:v>7257.232006017419</x:v>
      </x:c>
      <x:c r="M24" s="51" t="n">
        <x:f>M22-M23</x:f>
        <x:v>-21109.806021407345</x:v>
      </x:c>
      <x:c r="N24" s="51" t="n">
        <x:f>SUM(B24:M24)</x:f>
        <x:v>108016.89339456045</x:v>
      </x:c>
    </x:row>
    <x:row r="25">
      <x:c r="A25" s="87" t="str">
        <x:v>Podatek</x:v>
      </x:c>
      <x:c r="B25" s="53" t="n">
        <x:f>IF(B24&gt;0,B24/SUMIF($B$24:$M$24,"&gt;0",$B$24:$M$24)*MAX(0,$N$24*'01_ZALOZENIA'!$E$11),0)</x:f>
        <x:v>652.403986006641</x:v>
      </x:c>
      <x:c r="C25" s="53" t="n">
        <x:f>IF(C24&gt;0,C24/SUMIF($B$24:$M$24,"&gt;0",$B$24:$M$24)*MAX(0,$N$24*'01_ZALOZENIA'!$E$11),0)</x:f>
        <x:v>1953.8722188923728</x:v>
      </x:c>
      <x:c r="D25" s="53" t="n">
        <x:f>IF(D24&gt;0,D24/SUMIF($B$24:$M$24,"&gt;0",$B$24:$M$24)*MAX(0,$N$24*'01_ZALOZENIA'!$E$11),0)</x:f>
        <x:v>0</x:v>
      </x:c>
      <x:c r="E25" s="53" t="n">
        <x:f>IF(E24&gt;0,E24/SUMIF($B$24:$M$24,"&gt;0",$B$24:$M$24)*MAX(0,$N$24*'01_ZALOZENIA'!$E$11),0)</x:f>
        <x:v>3152.4792884689546</x:v>
      </x:c>
      <x:c r="F25" s="53" t="n">
        <x:f>IF(F24&gt;0,F24/SUMIF($B$24:$M$24,"&gt;0",$B$24:$M$24)*MAX(0,$N$24*'01_ZALOZENIA'!$E$11),0)</x:f>
        <x:v>448.8473285480438</x:v>
      </x:c>
      <x:c r="G25" s="53" t="n">
        <x:f>IF(G24&gt;0,G24/SUMIF($B$24:$M$24,"&gt;0",$B$24:$M$24)*MAX(0,$N$24*'01_ZALOZENIA'!$E$11),0)</x:f>
        <x:v>2627.4548065728886</x:v>
      </x:c>
      <x:c r="H25" s="53" t="n">
        <x:f>IF(H24&gt;0,H24/SUMIF($B$24:$M$24,"&gt;0",$B$24:$M$24)*MAX(0,$N$24*'01_ZALOZENIA'!$E$11),0)</x:f>
        <x:v>3645.5460449117923</x:v>
      </x:c>
      <x:c r="I25" s="53" t="n">
        <x:f>IF(I24&gt;0,I24/SUMIF($B$24:$M$24,"&gt;0",$B$24:$M$24)*MAX(0,$N$24*'01_ZALOZENIA'!$E$11),0)</x:f>
        <x:v>2039.8021518067483</x:v>
      </x:c>
      <x:c r="J25" s="53" t="n">
        <x:f>IF(J24&gt;0,J24/SUMIF($B$24:$M$24,"&gt;0",$B$24:$M$24)*MAX(0,$N$24*'01_ZALOZENIA'!$E$11),0)</x:f>
        <x:v>4333.232638940494</x:v>
      </x:c>
      <x:c r="K25" s="53" t="n">
        <x:f>IF(K24&gt;0,K24/SUMIF($B$24:$M$24,"&gt;0",$B$24:$M$24)*MAX(0,$N$24*'01_ZALOZENIA'!$E$11),0)</x:f>
        <x:v>533.9338724426302</x:v>
      </x:c>
      <x:c r="L25" s="53" t="n">
        <x:f>IF(L24&gt;0,L24/SUMIF($B$24:$M$24,"&gt;0",$B$24:$M$24)*MAX(0,$N$24*'01_ZALOZENIA'!$E$11),0)</x:f>
        <x:v>1135.6374083759197</x:v>
      </x:c>
      <x:c r="M25" s="53" t="n">
        <x:f>IF(M24&gt;0,M24/SUMIF($B$24:$M$24,"&gt;0",$B$24:$M$24)*MAX(0,$N$24*'01_ZALOZENIA'!$E$11),0)</x:f>
        <x:v>0</x:v>
      </x:c>
      <x:c r="N25" s="53" t="n">
        <x:f>SUM(B25:M25)</x:f>
        <x:v>20523.209744966487</x:v>
      </x:c>
    </x:row>
    <x:row r="26">
      <x:c r="A26" s="90" t="str">
        <x:v>Zysk netto</x:v>
      </x:c>
      <x:c r="B26" s="93" t="n">
        <x:f>B24-B25</x:f>
        <x:v>3516.749876995967</x:v>
      </x:c>
      <x:c r="C26" s="93" t="n">
        <x:f>C24-C25</x:f>
        <x:v>10532.246940296352</x:v>
      </x:c>
      <x:c r="D26" s="93" t="n">
        <x:f>D24-D25</x:f>
        <x:v>-2025.8088836501174</x:v>
      </x:c>
      <x:c r="E26" s="93" t="n">
        <x:f>E24-E25</x:f>
        <x:v>16993.276233359302</x:v>
      </x:c>
      <x:c r="F26" s="93" t="n">
        <x:f>F24-F25</x:f>
        <x:v>2419.4882638948707</x:v>
      </x:c>
      <x:c r="G26" s="93" t="n">
        <x:f>G24-G25</x:f>
        <x:v>14163.158972075333</x:v>
      </x:c>
      <x:c r="H26" s="93" t="n">
        <x:f>H24-H25</x:f>
        <x:v>19651.127031734864</x:v>
      </x:c>
      <x:c r="I26" s="93" t="n">
        <x:f>I24-I25</x:f>
        <x:v>10995.447790518969</x:v>
      </x:c>
      <x:c r="J26" s="93" t="n">
        <x:f>J24-J25</x:f>
        <x:v>23358.065978820934</x:v>
      </x:c>
      <x:c r="K26" s="93" t="n">
        <x:f>K24-K25</x:f>
        <x:v>2878.142869313319</x:v>
      </x:c>
      <x:c r="L26" s="93" t="n">
        <x:f>L24-L25</x:f>
        <x:v>6121.594597641499</x:v>
      </x:c>
      <x:c r="M26" s="93" t="n">
        <x:f>M24-M25</x:f>
        <x:v>-21109.806021407345</x:v>
      </x:c>
      <x:c r="N26" s="93" t="n">
        <x:f>SUM(B26:M26)</x:f>
        <x:v>87493.68364959394</x:v>
      </x:c>
    </x:row>
    <x:row r="27">
      <x:c r="A27" s="87" t="str">
        <x:v>Liczba zamówień</x:v>
      </x:c>
      <x:c r="B27" s="65" t="n">
        <x:f>'18_KOSZTY_OPEX'!B6*(1+'01_ZALOZENIA'!$E$6+'01_ZALOZENIA'!$E$20)</x:f>
        <x:v>97.16320949627892</x:v>
      </x:c>
      <x:c r="C27" s="65" t="n">
        <x:f>'18_KOSZTY_OPEX'!C6*(1+'01_ZALOZENIA'!$E$6+'01_ZALOZENIA'!$E$20)</x:f>
        <x:v>108.05490353515644</x:v>
      </x:c>
      <x:c r="D27" s="65" t="n">
        <x:f>'18_KOSZTY_OPEX'!D6*(1+'01_ZALOZENIA'!$E$6+'01_ZALOZENIA'!$E$20)</x:f>
        <x:v>92.22304186949033</x:v>
      </x:c>
      <x:c r="E27" s="65" t="n">
        <x:f>'18_KOSZTY_OPEX'!E6*(1+'01_ZALOZENIA'!$E$6+'01_ZALOZENIA'!$E$20)</x:f>
        <x:v>116.4112227605992</x:v>
      </x:c>
      <x:c r="F27" s="65" t="n">
        <x:f>'18_KOSZTY_OPEX'!F6*(1+'01_ZALOZENIA'!$E$6+'01_ZALOZENIA'!$E$20)</x:f>
        <x:v>97.56233366369983</x:v>
      </x:c>
      <x:c r="G27" s="65" t="n">
        <x:f>'18_KOSZTY_OPEX'!G6*(1+'01_ZALOZENIA'!$E$6+'01_ZALOZENIA'!$E$20)</x:f>
        <x:v>114.11460767497707</x:v>
      </x:c>
      <x:c r="H27" s="65" t="n">
        <x:f>'18_KOSZTY_OPEX'!H6*(1+'01_ZALOZENIA'!$E$6+'01_ZALOZENIA'!$E$20)</x:f>
        <x:v>123.90193588542498</x:v>
      </x:c>
      <x:c r="I27" s="65" t="n">
        <x:f>'18_KOSZTY_OPEX'!I6*(1+'01_ZALOZENIA'!$E$6+'01_ZALOZENIA'!$E$20)</x:f>
        <x:v>112.70718415596045</x:v>
      </x:c>
      <x:c r="J27" s="65" t="n">
        <x:f>'18_KOSZTY_OPEX'!J6*(1+'01_ZALOZENIA'!$E$6+'01_ZALOZENIA'!$E$20)</x:f>
        <x:v>130.3772185505813</x:v>
      </x:c>
      <x:c r="K27" s="65" t="n">
        <x:f>'18_KOSZTY_OPEX'!K6*(1+'01_ZALOZENIA'!$E$6+'01_ZALOZENIA'!$E$20)</x:f>
        <x:v>108.63419804703597</x:v>
      </x:c>
      <x:c r="L27" s="65" t="n">
        <x:f>'18_KOSZTY_OPEX'!L6*(1+'01_ZALOZENIA'!$E$6+'01_ZALOZENIA'!$E$20)</x:f>
        <x:v>112.82908972835432</x:v>
      </x:c>
      <x:c r="M27" s="65" t="n">
        <x:f>'18_KOSZTY_OPEX'!M6*(1+'01_ZALOZENIA'!$E$6+'01_ZALOZENIA'!$E$20)</x:f>
        <x:v>82.79105463244132</x:v>
      </x:c>
      <x:c r="N27" s="65" t="n">
        <x:f>SUM(B27:M27)</x:f>
        <x:v>1296.77</x:v>
      </x:c>
    </x:row>
  </x:sheetData>
  <x:mergeCells>
    <x:mergeCell ref="A1:N1"/>
    <x:mergeCell ref="A2:N2"/>
  </x:mergeCells>
  <x:conditionalFormatting sqref="B26:N26">
    <x:cfRule type="cellIs" dxfId="5" priority="1" operator="lessThan">
      <x:formula>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7" hidden="0" customWidth="1"/>
  </x:cols>
  <x:sheetData>
    <x:row r="1">
      <x:c r="A1" s="216" t="str">
        <x:v>RACHUNEK WYNIKÓW - PORÓWNANIE ROCZNE</x:v>
      </x:c>
      <x:c r="B1" s="216"/>
      <x:c r="C1" s="216"/>
      <x:c r="D1" s="216"/>
      <x:c r="E1" s="216"/>
      <x:c r="F1" s="216"/>
      <x:c r="G1" s="216"/>
    </x:row>
    <x:row r="2" ht="32" customHeight="1">
      <x:c r="A2" s="42" t="str">
        <x:v>Wykonanie sprzedaży 2025 jest rzeczywiste po kontroli; koszty operacyjne 2025 i budżet OPEX są jawnie modelowe. Plan 2026 pochodzi z aktywnego scenariusza.</x:v>
      </x:c>
      <x:c r="B2" s="42"/>
      <x:c r="C2" s="42"/>
      <x:c r="D2" s="42"/>
      <x:c r="E2" s="42"/>
      <x:c r="F2" s="42"/>
      <x:c r="G2" s="42"/>
    </x:row>
    <x:row r="3">
      <x:c r="A3" s="210"/>
      <x:c r="B3" s="210"/>
      <x:c r="C3" s="210"/>
      <x:c r="D3" s="210"/>
      <x:c r="E3" s="210"/>
      <x:c r="F3" s="210"/>
      <x:c r="G3" s="210"/>
    </x:row>
    <x:row r="4" ht="32" customHeight="1">
      <x:c r="A4" s="21" t="str">
        <x:v>Pozycja</x:v>
      </x:c>
      <x:c r="B4" s="21" t="str">
        <x:v>Wykonanie 2025</x:v>
      </x:c>
      <x:c r="C4" s="21" t="str">
        <x:v>Budżet 2025</x:v>
      </x:c>
      <x:c r="D4" s="21" t="str">
        <x:v>Plan 2026</x:v>
      </x:c>
      <x:c r="E4" s="21" t="str">
        <x:v>Plan vs wykonanie</x:v>
      </x:c>
      <x:c r="F4" s="21" t="str">
        <x:v>Plan vs budżet</x:v>
      </x:c>
      <x:c r="G4" s="21" t="str">
        <x:v>Komentarz</x:v>
      </x:c>
    </x:row>
    <x:row r="5">
      <x:c r="A5" s="24" t="str">
        <x:v>Przychód brutto</x:v>
      </x:c>
      <x:c r="B5" s="53" t="n">
        <x:f>'06_SPRZEDAZ_WYKONANIE'!B18</x:f>
        <x:v>3514692.0275000003</x:v>
      </x:c>
      <x:c r="C5" s="53" t="n">
        <x:f>'11_BUDZET_2025'!C18</x:f>
        <x:v>5462374.780000001</x:v>
      </x:c>
      <x:c r="D5" s="53" t="n">
        <x:f>'12_PLAN_2026'!N5</x:f>
        <x:v>3764938.099858001</x:v>
      </x:c>
      <x:c r="E5" s="53" t="n">
        <x:f>D5-B5</x:f>
        <x:v>250246.07235800056</x:v>
      </x:c>
      <x:c r="F5" s="53" t="n">
        <x:f>D5-C5</x:f>
        <x:v>-1697436.6801420003</x:v>
      </x:c>
      <x:c r="G5" s="28" t="str">
        <x:v>Sprzedaż po wyłączeniu KONTROLA_Sprzedaz</x:v>
      </x:c>
    </x:row>
    <x:row r="6">
      <x:c r="A6" s="27" t="str">
        <x:v>Zwroty</x:v>
      </x:c>
      <x:c r="B6" s="51" t="n">
        <x:f>'06_SPRZEDAZ_WYKONANIE'!D18</x:f>
        <x:v>92108.55712650997</x:v>
      </x:c>
      <x:c r="C6" s="51" t="n">
        <x:f>C5*'01_ZALOZENIA'!$E$25</x:f>
        <x:v>143150.93770190576</x:v>
      </x:c>
      <x:c r="D6" s="51" t="n">
        <x:f>'12_PLAN_2026'!N6</x:f>
        <x:v>98666.68639391748</x:v>
      </x:c>
      <x:c r="E6" s="51" t="n">
        <x:f>D6-B6</x:f>
        <x:v>6558.129267407508</x:v>
      </x:c>
      <x:c r="F6" s="51" t="n">
        <x:f>D6-C6</x:f>
        <x:v>-44484.25130798828</x:v>
      </x:c>
      <x:c r="G6" s="29" t="str">
        <x:v>Stopa z dashboardu</x:v>
      </x:c>
    </x:row>
    <x:row r="7">
      <x:c r="A7" s="24" t="str">
        <x:v>Przychód netto</x:v>
      </x:c>
      <x:c r="B7" s="53" t="n">
        <x:f>'06_SPRZEDAZ_WYKONANIE'!E18</x:f>
        <x:v>3422583.470373491</x:v>
      </x:c>
      <x:c r="C7" s="53" t="n">
        <x:f>C5-C6</x:f>
        <x:v>5319223.842298095</x:v>
      </x:c>
      <x:c r="D7" s="53" t="n">
        <x:f>'12_PLAN_2026'!N7</x:f>
        <x:v>3666271.413464084</x:v>
      </x:c>
      <x:c r="E7" s="53" t="n">
        <x:f>D7-B7</x:f>
        <x:v>243687.94309059298</x:v>
      </x:c>
      <x:c r="F7" s="53" t="n">
        <x:f>D7-C7</x:f>
        <x:v>-1652952.4288340113</x:v>
      </x:c>
      <x:c r="G7" s="28" t="str">
        <x:v>Przychód brutto minus zwroty</x:v>
      </x:c>
    </x:row>
    <x:row r="8">
      <x:c r="A8" s="27" t="str">
        <x:v>KWS</x:v>
      </x:c>
      <x:c r="B8" s="51" t="n">
        <x:f>'06_SPRZEDAZ_WYKONANIE'!G18</x:f>
        <x:v>2133724.435380761</x:v>
      </x:c>
      <x:c r="C8" s="51" t="n">
        <x:f>C7*'06_SPRZEDAZ_WYKONANIE'!F18</x:f>
        <x:v>3316137.6450908994</x:v>
      </x:c>
      <x:c r="D8" s="51" t="n">
        <x:f>'12_PLAN_2026'!N8</x:f>
        <x:v>2307622.9768642937</x:v>
      </x:c>
      <x:c r="E8" s="51" t="n">
        <x:f>D8-B8</x:f>
        <x:v>173898.54148353264</x:v>
      </x:c>
      <x:c r="F8" s="51" t="n">
        <x:f>D8-C8</x:f>
        <x:v>-1008514.6682266057</x:v>
      </x:c>
      <x:c r="G8" s="29" t="str">
        <x:v>Źródłowa stopa KWS</x:v>
      </x:c>
    </x:row>
    <x:row r="9">
      <x:c r="A9" s="85" t="str">
        <x:v>Marża brutto</x:v>
      </x:c>
      <x:c r="B9" s="91" t="n">
        <x:f>B7-B8</x:f>
        <x:v>1288859.0349927298</x:v>
      </x:c>
      <x:c r="C9" s="91" t="n">
        <x:f>C7-C8</x:f>
        <x:v>2003086.1972071957</x:v>
      </x:c>
      <x:c r="D9" s="91" t="n">
        <x:f>'12_PLAN_2026'!N9</x:f>
        <x:v>1358648.4365997908</x:v>
      </x:c>
      <x:c r="E9" s="91" t="n">
        <x:f>D9-B9</x:f>
        <x:v>69789.40160706104</x:v>
      </x:c>
      <x:c r="F9" s="91" t="n">
        <x:f>D9-C9</x:f>
        <x:v>-644437.7606074049</x:v>
      </x:c>
      <x:c r="G9" s="94" t="str">
        <x:v>Przychód netto minus KWS</x:v>
      </x:c>
    </x:row>
    <x:row r="10">
      <x:c r="A10" s="85" t="str">
        <x:v>Marża brutto %</x:v>
      </x:c>
      <x:c r="B10" s="92" t="n">
        <x:f>IFERROR(B9/B7,0)</x:f>
        <x:v>0.3765749020146125</x:v>
      </x:c>
      <x:c r="C10" s="92" t="n">
        <x:f>IFERROR(C9/C7,0)</x:f>
        <x:v>0.37657490201461247</x:v>
      </x:c>
      <x:c r="D10" s="92" t="n">
        <x:f>'12_PLAN_2026'!N10</x:f>
        <x:v>0.3705804299185993</x:v>
      </x:c>
      <x:c r="E10" s="92" t="n">
        <x:f>D10-B10</x:f>
        <x:v>-0.005994472096013226</x:v>
      </x:c>
      <x:c r="F10" s="92" t="n">
        <x:f>D10-C10</x:f>
        <x:v>-0.00599447209601317</x:v>
      </x:c>
      <x:c r="G10" s="94" t="str">
        <x:v>Marża / przychód netto</x:v>
      </x:c>
    </x:row>
    <x:row r="11">
      <x:c r="A11" s="24" t="str">
        <x:v>OPEX</x:v>
      </x:c>
      <x:c r="B11" s="53" t="n">
        <x:f>'18_KOSZTY_OPEX'!N15</x:f>
        <x:v>983656.0049334456</x:v>
      </x:c>
      <x:c r="C11" s="53" t="n">
        <x:f>B11*IFERROR(C7/B7,0)</x:f>
        <x:v>1528753.5042909272</x:v>
      </x:c>
      <x:c r="D11" s="53" t="n">
        <x:f>'18_KOSZTY_OPEX'!N30</x:f>
        <x:v>1099214.8765385635</x:v>
      </x:c>
      <x:c r="E11" s="53" t="n">
        <x:f>D11-B11</x:f>
        <x:v>115558.87160511792</x:v>
      </x:c>
      <x:c r="F11" s="53" t="n">
        <x:f>D11-C11</x:f>
        <x:v>-429538.6277523637</x:v>
      </x:c>
      <x:c r="G11" s="28" t="str">
        <x:v>Budżet OPEX proporcjonalny - brak źródłowego budżetu kosztów</x:v>
      </x:c>
    </x:row>
    <x:row r="12">
      <x:c r="A12" s="85" t="str">
        <x:v>EBITDA</x:v>
      </x:c>
      <x:c r="B12" s="91" t="n">
        <x:f>B9-B11</x:f>
        <x:v>305203.0300592842</x:v>
      </x:c>
      <x:c r="C12" s="91" t="n">
        <x:f>C9-C11</x:f>
        <x:v>474332.6929162685</x:v>
      </x:c>
      <x:c r="D12" s="91" t="n">
        <x:f>'12_PLAN_2026'!N19</x:f>
        <x:v>259433.56006122712</x:v>
      </x:c>
      <x:c r="E12" s="91" t="n">
        <x:f>D12-B12</x:f>
        <x:v>-45769.46999805706</x:v>
      </x:c>
      <x:c r="F12" s="91" t="n">
        <x:f>D12-C12</x:f>
        <x:v>-214899.13285504136</x:v>
      </x:c>
      <x:c r="G12" s="94" t="str">
        <x:v>Marża brutto minus OPEX</x:v>
      </x:c>
    </x:row>
    <x:row r="13">
      <x:c r="A13" s="85" t="str">
        <x:v>Marża EBITDA</x:v>
      </x:c>
      <x:c r="B13" s="92" t="n">
        <x:f>IFERROR(B12/B7,0)</x:f>
        <x:v>0.089173290498589</x:v>
      </x:c>
      <x:c r="C13" s="92" t="n">
        <x:f>IFERROR(C12/C7,0)</x:f>
        <x:v>0.08917329049858894</x:v>
      </x:c>
      <x:c r="D13" s="92" t="n">
        <x:f>'12_PLAN_2026'!N20</x:f>
        <x:v>0.07076223519853944</x:v>
      </x:c>
      <x:c r="E13" s="92" t="n">
        <x:f>D13-B13</x:f>
        <x:v>-0.018411055300049564</x:v>
      </x:c>
      <x:c r="F13" s="92" t="n">
        <x:f>D13-C13</x:f>
        <x:v>-0.018411055300049495</x:v>
      </x:c>
      <x:c r="G13" s="94" t="str">
        <x:v>EBITDA / przychód netto</x:v>
      </x:c>
    </x:row>
    <x:row r="14">
      <x:c r="A14" s="27" t="str">
        <x:v>Amortyzacja</x:v>
      </x:c>
      <x:c r="B14" s="51" t="n">
        <x:f>'17_CAPEX'!N20</x:f>
        <x:v>37999.99999999999</x:v>
      </x:c>
      <x:c r="C14" s="51" t="n">
        <x:f>B14</x:f>
        <x:v>37999.99999999999</x:v>
      </x:c>
      <x:c r="D14" s="51" t="n">
        <x:f>'17_CAPEX'!N31</x:f>
        <x:v>91416.66666666666</x:v>
      </x:c>
      <x:c r="E14" s="51" t="n">
        <x:f>D14-B14</x:f>
        <x:v>53416.666666666664</x:v>
      </x:c>
      <x:c r="F14" s="51" t="n">
        <x:f>D14-C14</x:f>
        <x:v>53416.666666666664</x:v>
      </x:c>
      <x:c r="G14" s="29" t="str">
        <x:v>Harmonogram CAPEX</x:v>
      </x:c>
    </x:row>
    <x:row r="15">
      <x:c r="A15" s="24" t="str">
        <x:v>EBIT</x:v>
      </x:c>
      <x:c r="B15" s="53" t="n">
        <x:f>B12-B14</x:f>
        <x:v>267203.0300592842</x:v>
      </x:c>
      <x:c r="C15" s="53" t="n">
        <x:f>C12-C14</x:f>
        <x:v>436332.6929162685</x:v>
      </x:c>
      <x:c r="D15" s="53" t="n">
        <x:f>'12_PLAN_2026'!N22</x:f>
        <x:v>168016.89339456044</x:v>
      </x:c>
      <x:c r="E15" s="53" t="n">
        <x:f>D15-B15</x:f>
        <x:v>-99186.13666472374</x:v>
      </x:c>
      <x:c r="F15" s="53" t="n">
        <x:f>D15-C15</x:f>
        <x:v>-268315.79952170805</x:v>
      </x:c>
      <x:c r="G15" s="28" t="str">
        <x:v>EBITDA minus amortyzacja</x:v>
      </x:c>
    </x:row>
    <x:row r="16">
      <x:c r="A16" s="27" t="str">
        <x:v>Odsetki</x:v>
      </x:c>
      <x:c r="B16" s="51" t="n">
        <x:f>'01_ZALOZENIA'!$E$23*12</x:f>
        <x:v>60000</x:v>
      </x:c>
      <x:c r="C16" s="51" t="n">
        <x:f>B16</x:f>
        <x:v>60000</x:v>
      </x:c>
      <x:c r="D16" s="51" t="n">
        <x:f>'12_PLAN_2026'!N23</x:f>
        <x:v>60000</x:v>
      </x:c>
      <x:c r="E16" s="51" t="n">
        <x:f>D16-B16</x:f>
        <x:v>0</x:v>
      </x:c>
      <x:c r="F16" s="51" t="n">
        <x:f>D16-C16</x:f>
        <x:v>0</x:v>
      </x:c>
      <x:c r="G16" s="29" t="str">
        <x:v>Miesięczna kwota × 12</x:v>
      </x:c>
    </x:row>
    <x:row r="17">
      <x:c r="A17" s="24" t="str">
        <x:v>EBT</x:v>
      </x:c>
      <x:c r="B17" s="53" t="n">
        <x:f>B15-B16</x:f>
        <x:v>207203.03005928418</x:v>
      </x:c>
      <x:c r="C17" s="53" t="n">
        <x:f>C15-C16</x:f>
        <x:v>376332.6929162685</x:v>
      </x:c>
      <x:c r="D17" s="53" t="n">
        <x:f>'12_PLAN_2026'!N24</x:f>
        <x:v>108016.89339456045</x:v>
      </x:c>
      <x:c r="E17" s="53" t="n">
        <x:f>D17-B17</x:f>
        <x:v>-99186.13666472373</x:v>
      </x:c>
      <x:c r="F17" s="53" t="n">
        <x:f>D17-C17</x:f>
        <x:v>-268315.79952170805</x:v>
      </x:c>
      <x:c r="G17" s="28" t="str">
        <x:v>EBIT minus odsetki</x:v>
      </x:c>
    </x:row>
    <x:row r="18">
      <x:c r="A18" s="27" t="str">
        <x:v>Podatek</x:v>
      </x:c>
      <x:c r="B18" s="51" t="n">
        <x:f>MAX(0,B17*'01_ZALOZENIA'!$E$11)</x:f>
        <x:v>39368.575711264</x:v>
      </x:c>
      <x:c r="C18" s="51" t="n">
        <x:f>MAX(0,C17*'01_ZALOZENIA'!$E$11)</x:f>
        <x:v>71503.211654091</x:v>
      </x:c>
      <x:c r="D18" s="51" t="n">
        <x:f>'12_PLAN_2026'!N25</x:f>
        <x:v>20523.209744966487</x:v>
      </x:c>
      <x:c r="E18" s="51" t="n">
        <x:f>D18-B18</x:f>
        <x:v>-18845.36596629751</x:v>
      </x:c>
      <x:c r="F18" s="51" t="n">
        <x:f>D18-C18</x:f>
        <x:v>-50980.00190912452</x:v>
      </x:c>
      <x:c r="G18" s="29" t="str">
        <x:v>Podatek tylko od dodatniego EBT</x:v>
      </x:c>
    </x:row>
    <x:row r="19">
      <x:c r="A19" s="86" t="str">
        <x:v>Zysk netto</x:v>
      </x:c>
      <x:c r="B19" s="93" t="n">
        <x:f>B17-B18</x:f>
        <x:v>167834.4543480202</x:v>
      </x:c>
      <x:c r="C19" s="93" t="n">
        <x:f>C17-C18</x:f>
        <x:v>304829.48126217746</x:v>
      </x:c>
      <x:c r="D19" s="93" t="n">
        <x:f>'12_PLAN_2026'!N26</x:f>
        <x:v>87493.68364959394</x:v>
      </x:c>
      <x:c r="E19" s="93" t="n">
        <x:f>D19-B19</x:f>
        <x:v>-80340.77069842626</x:v>
      </x:c>
      <x:c r="F19" s="93" t="n">
        <x:f>D19-C19</x:f>
        <x:v>-217335.79761258353</x:v>
      </x:c>
      <x:c r="G19" s="95" t="str">
        <x:v>EBT minus podatek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9" hidden="0" customWidth="1"/>
    <x:col min="5" max="5" width="17" hidden="0" customWidth="1"/>
    <x:col min="6" max="6" width="20" hidden="0" customWidth="1"/>
  </x:cols>
  <x:sheetData>
    <x:row r="1">
      <x:c r="A1" s="216" t="str">
        <x:v>ODCHYLENIA SPRZEDAŻY 2025</x:v>
      </x:c>
      <x:c r="B1" s="216"/>
      <x:c r="C1" s="216"/>
      <x:c r="D1" s="216"/>
      <x:c r="E1" s="216"/>
      <x:c r="F1" s="216"/>
    </x:row>
    <x:row r="2" ht="32" customHeight="1">
      <x:c r="A2" s="42" t="str">
        <x:v>Dodatnie odchylenie przychodu oznacza wynik korzystny. Status wykorzystuje tolerancję ustawioną w 01_ZALOZENIA.</x:v>
      </x:c>
      <x:c r="B2" s="42"/>
      <x:c r="C2" s="42"/>
      <x:c r="D2" s="42"/>
      <x:c r="E2" s="42"/>
      <x:c r="F2" s="42"/>
    </x:row>
    <x:row r="3">
      <x:c r="A3" s="210"/>
      <x:c r="B3" s="210"/>
      <x:c r="C3" s="210"/>
      <x:c r="D3" s="210"/>
      <x:c r="E3" s="210"/>
      <x:c r="F3" s="210"/>
    </x:row>
    <x:row r="4" ht="23" customHeight="1">
      <x:c r="A4" s="16" t="str">
        <x:v>Odchylenie miesięczne</x:v>
      </x:c>
      <x:c r="B4" s="16" t="str">
        <x:v>Odchylenie miesięczne</x:v>
      </x:c>
      <x:c r="C4" s="16" t="str">
        <x:v>Odchylenie miesięczne</x:v>
      </x:c>
      <x:c r="D4" s="16" t="str">
        <x:v>Odchylenie miesięczne</x:v>
      </x:c>
      <x:c r="E4" s="16" t="str">
        <x:v>Odchylenie miesięczne</x:v>
      </x:c>
      <x:c r="F4" s="16" t="str">
        <x:v>Odchylenie miesięczne</x:v>
      </x:c>
    </x:row>
    <x:row r="5" ht="32" customHeight="1">
      <x:c r="A5" s="21" t="str">
        <x:v>Miesiąc</x:v>
      </x:c>
      <x:c r="B5" s="21" t="str">
        <x:v>Wykonanie</x:v>
      </x:c>
      <x:c r="C5" s="21" t="str">
        <x:v>Budżet</x:v>
      </x:c>
      <x:c r="D5" s="21" t="str">
        <x:v>Odchylenie</x:v>
      </x:c>
      <x:c r="E5" s="21" t="str">
        <x:v>Odchylenie %</x:v>
      </x:c>
      <x:c r="F5" s="21" t="str">
        <x:v>Status</x:v>
      </x:c>
    </x:row>
    <x:row r="6">
      <x:c r="A6" s="59" t="n">
        <x:f>'11_BUDZET_2025'!A5</x:f>
        <x:v>45658</x:v>
      </x:c>
      <x:c r="B6" s="53" t="n">
        <x:f>'11_BUDZET_2025'!B5</x:f>
        <x:v>263103.792</x:v>
      </x:c>
      <x:c r="C6" s="53" t="n">
        <x:f>'11_BUDZET_2025'!C5</x:f>
        <x:v>380693.48</x:v>
      </x:c>
      <x:c r="D6" s="53" t="n">
        <x:f>B6-C6</x:f>
        <x:v>-117589.68799999997</x:v>
      </x:c>
      <x:c r="E6" s="47" t="n">
        <x:f>IFERROR(D6/C6,0)</x:f>
        <x:v>-0.30888285241974717</x:v>
      </x:c>
      <x:c r="F6" s="24" t="str">
        <x:f>IF(ABS(E6)&lt;='01_ZALOZENIA'!$E$24,"W tolerancji",IF(D6&gt;0,"Korzystne","Niekorzystne"))</x:f>
        <x:v>Niekorzystne</x:v>
      </x:c>
    </x:row>
    <x:row r="7">
      <x:c r="A7" s="60" t="n">
        <x:f>'11_BUDZET_2025'!A6</x:f>
        <x:v>45689</x:v>
      </x:c>
      <x:c r="B7" s="51" t="n">
        <x:f>'11_BUDZET_2025'!B6</x:f>
        <x:v>292596.9099999999</x:v>
      </x:c>
      <x:c r="C7" s="51" t="n">
        <x:f>'11_BUDZET_2025'!C6</x:f>
        <x:v>358269.3</x:v>
      </x:c>
      <x:c r="D7" s="51" t="n">
        <x:f>B7-C7</x:f>
        <x:v>-65672.39000000007</x:v>
      </x:c>
      <x:c r="E7" s="49" t="n">
        <x:f>IFERROR(D7/C7,0)</x:f>
        <x:v>-0.18330454214190295</x:v>
      </x:c>
      <x:c r="F7" s="27" t="str">
        <x:f>IF(ABS(E7)&lt;='01_ZALOZENIA'!$E$24,"W tolerancji",IF(D7&gt;0,"Korzystne","Niekorzystne"))</x:f>
        <x:v>Niekorzystne</x:v>
      </x:c>
    </x:row>
    <x:row r="8">
      <x:c r="A8" s="59" t="n">
        <x:f>'11_BUDZET_2025'!A7</x:f>
        <x:v>45717</x:v>
      </x:c>
      <x:c r="B8" s="53" t="n">
        <x:f>'11_BUDZET_2025'!B7</x:f>
        <x:v>249726.53900000002</x:v>
      </x:c>
      <x:c r="C8" s="53" t="n">
        <x:f>'11_BUDZET_2025'!C7</x:f>
        <x:v>456500.11000000004</x:v>
      </x:c>
      <x:c r="D8" s="53" t="n">
        <x:f>B8-C8</x:f>
        <x:v>-206773.57100000003</x:v>
      </x:c>
      <x:c r="E8" s="47" t="n">
        <x:f>IFERROR(D8/C8,0)</x:f>
        <x:v>-0.45295404419508245</x:v>
      </x:c>
      <x:c r="F8" s="24" t="str">
        <x:f>IF(ABS(E8)&lt;='01_ZALOZENIA'!$E$24,"W tolerancji",IF(D8&gt;0,"Korzystne","Niekorzystne"))</x:f>
        <x:v>Niekorzystne</x:v>
      </x:c>
    </x:row>
    <x:row r="9">
      <x:c r="A9" s="60" t="n">
        <x:f>'11_BUDZET_2025'!A8</x:f>
        <x:v>45748</x:v>
      </x:c>
      <x:c r="B9" s="51" t="n">
        <x:f>'11_BUDZET_2025'!B8</x:f>
        <x:v>315224.60300000006</x:v>
      </x:c>
      <x:c r="C9" s="51" t="n">
        <x:f>'11_BUDZET_2025'!C8</x:f>
        <x:v>410852.95999999996</x:v>
      </x:c>
      <x:c r="D9" s="51" t="n">
        <x:f>B9-C9</x:f>
        <x:v>-95628.3569999999</x:v>
      </x:c>
      <x:c r="E9" s="49" t="n">
        <x:f>IFERROR(D9/C9,0)</x:f>
        <x:v>-0.23275567249168636</x:v>
      </x:c>
      <x:c r="F9" s="27" t="str">
        <x:f>IF(ABS(E9)&lt;='01_ZALOZENIA'!$E$24,"W tolerancji",IF(D9&gt;0,"Korzystne","Niekorzystne"))</x:f>
        <x:v>Niekorzystne</x:v>
      </x:c>
    </x:row>
    <x:row r="10">
      <x:c r="A10" s="59" t="n">
        <x:f>'11_BUDZET_2025'!A9</x:f>
        <x:v>45778</x:v>
      </x:c>
      <x:c r="B10" s="53" t="n">
        <x:f>'11_BUDZET_2025'!B9</x:f>
        <x:v>264184.5619999999</x:v>
      </x:c>
      <x:c r="C10" s="53" t="n">
        <x:f>'11_BUDZET_2025'!C9</x:f>
        <x:v>366190.62</x:v>
      </x:c>
      <x:c r="D10" s="53" t="n">
        <x:f>B10-C10</x:f>
        <x:v>-102006.05800000008</x:v>
      </x:c>
      <x:c r="E10" s="47" t="n">
        <x:f>IFERROR(D10/C10,0)</x:f>
        <x:v>-0.27855999697643835</x:v>
      </x:c>
      <x:c r="F10" s="24" t="str">
        <x:f>IF(ABS(E10)&lt;='01_ZALOZENIA'!$E$24,"W tolerancji",IF(D10&gt;0,"Korzystne","Niekorzystne"))</x:f>
        <x:v>Niekorzystne</x:v>
      </x:c>
    </x:row>
    <x:row r="11">
      <x:c r="A11" s="60" t="n">
        <x:f>'11_BUDZET_2025'!A10</x:f>
        <x:v>45809</x:v>
      </x:c>
      <x:c r="B11" s="51" t="n">
        <x:f>'11_BUDZET_2025'!B10</x:f>
        <x:v>309005.7045000001</x:v>
      </x:c>
      <x:c r="C11" s="51" t="n">
        <x:f>'11_BUDZET_2025'!C10</x:f>
        <x:v>449612.97</x:v>
      </x:c>
      <x:c r="D11" s="51" t="n">
        <x:f>B11-C11</x:f>
        <x:v>-140607.26549999986</x:v>
      </x:c>
      <x:c r="E11" s="49" t="n">
        <x:f>IFERROR(D11/C11,0)</x:f>
        <x:v>-0.31272955826874804</x:v>
      </x:c>
      <x:c r="F11" s="27" t="str">
        <x:f>IF(ABS(E11)&lt;='01_ZALOZENIA'!$E$24,"W tolerancji",IF(D11&gt;0,"Korzystne","Niekorzystne"))</x:f>
        <x:v>Niekorzystne</x:v>
      </x:c>
    </x:row>
    <x:row r="12">
      <x:c r="A12" s="59" t="n">
        <x:f>'11_BUDZET_2025'!A11</x:f>
        <x:v>45839</x:v>
      </x:c>
      <x:c r="B12" s="53" t="n">
        <x:f>'11_BUDZET_2025'!B11</x:f>
        <x:v>335508.3610000001</x:v>
      </x:c>
      <x:c r="C12" s="53" t="n">
        <x:f>'11_BUDZET_2025'!C11</x:f>
        <x:v>480450.33999999997</x:v>
      </x:c>
      <x:c r="D12" s="53" t="n">
        <x:f>B12-C12</x:f>
        <x:v>-144941.97899999988</x:v>
      </x:c>
      <x:c r="E12" s="47" t="n">
        <x:f>IFERROR(D12/C12,0)</x:f>
        <x:v>-0.3016794181059376</x:v>
      </x:c>
      <x:c r="F12" s="24" t="str">
        <x:f>IF(ABS(E12)&lt;='01_ZALOZENIA'!$E$24,"W tolerancji",IF(D12&gt;0,"Korzystne","Niekorzystne"))</x:f>
        <x:v>Niekorzystne</x:v>
      </x:c>
    </x:row>
    <x:row r="13">
      <x:c r="A13" s="60" t="n">
        <x:f>'11_BUDZET_2025'!A12</x:f>
        <x:v>45870</x:v>
      </x:c>
      <x:c r="B13" s="51" t="n">
        <x:f>'11_BUDZET_2025'!B12</x:f>
        <x:v>305194.6069999999</x:v>
      </x:c>
      <x:c r="C13" s="51" t="n">
        <x:f>'11_BUDZET_2025'!C12</x:f>
        <x:v>470244.22</x:v>
      </x:c>
      <x:c r="D13" s="51" t="n">
        <x:f>B13-C13</x:f>
        <x:v>-165049.61300000007</x:v>
      </x:c>
      <x:c r="E13" s="49" t="n">
        <x:f>IFERROR(D13/C13,0)</x:f>
        <x:v>-0.3509870105367804</x:v>
      </x:c>
      <x:c r="F13" s="27" t="str">
        <x:f>IF(ABS(E13)&lt;='01_ZALOZENIA'!$E$24,"W tolerancji",IF(D13&gt;0,"Korzystne","Niekorzystne"))</x:f>
        <x:v>Niekorzystne</x:v>
      </x:c>
    </x:row>
    <x:row r="14">
      <x:c r="A14" s="59" t="n">
        <x:f>'11_BUDZET_2025'!A13</x:f>
        <x:v>45901</x:v>
      </x:c>
      <x:c r="B14" s="53" t="n">
        <x:f>'11_BUDZET_2025'!B13</x:f>
        <x:v>353042.4815</x:v>
      </x:c>
      <x:c r="C14" s="53" t="n">
        <x:f>'11_BUDZET_2025'!C13</x:f>
        <x:v>467088.18</x:v>
      </x:c>
      <x:c r="D14" s="53" t="n">
        <x:f>B14-C14</x:f>
        <x:v>-114045.6985</x:v>
      </x:c>
      <x:c r="E14" s="47" t="n">
        <x:f>IFERROR(D14/C14,0)</x:f>
        <x:v>-0.24416310106584158</x:v>
      </x:c>
      <x:c r="F14" s="24" t="str">
        <x:f>IF(ABS(E14)&lt;='01_ZALOZENIA'!$E$24,"W tolerancji",IF(D14&gt;0,"Korzystne","Niekorzystne"))</x:f>
        <x:v>Niekorzystne</x:v>
      </x:c>
    </x:row>
    <x:row r="15">
      <x:c r="A15" s="60" t="n">
        <x:f>'11_BUDZET_2025'!A14</x:f>
        <x:v>45931</x:v>
      </x:c>
      <x:c r="B15" s="51" t="n">
        <x:f>'11_BUDZET_2025'!B14</x:f>
        <x:v>294165.55499999993</x:v>
      </x:c>
      <x:c r="C15" s="51" t="n">
        <x:f>'11_BUDZET_2025'!C14</x:f>
        <x:v>446708.17</x:v>
      </x:c>
      <x:c r="D15" s="51" t="n">
        <x:f>B15-C15</x:f>
        <x:v>-152542.61500000005</x:v>
      </x:c>
      <x:c r="E15" s="49" t="n">
        <x:f>IFERROR(D15/C15,0)</x:f>
        <x:v>-0.34148158740862083</x:v>
      </x:c>
      <x:c r="F15" s="27" t="str">
        <x:f>IF(ABS(E15)&lt;='01_ZALOZENIA'!$E$24,"W tolerancji",IF(D15&gt;0,"Korzystne","Niekorzystne"))</x:f>
        <x:v>Niekorzystne</x:v>
      </x:c>
    </x:row>
    <x:row r="16">
      <x:c r="A16" s="59" t="n">
        <x:f>'11_BUDZET_2025'!A15</x:f>
        <x:v>45962</x:v>
      </x:c>
      <x:c r="B16" s="53" t="n">
        <x:f>'11_BUDZET_2025'!B15</x:f>
        <x:v>305524.7095000001</x:v>
      </x:c>
      <x:c r="C16" s="53" t="n">
        <x:f>'11_BUDZET_2025'!C15</x:f>
        <x:v>596741.74</x:v>
      </x:c>
      <x:c r="D16" s="53" t="n">
        <x:f>B16-C16</x:f>
        <x:v>-291217.0304999999</x:v>
      </x:c>
      <x:c r="E16" s="47" t="n">
        <x:f>IFERROR(D16/C16,0)</x:f>
        <x:v>-0.48801183322621255</x:v>
      </x:c>
      <x:c r="F16" s="24" t="str">
        <x:f>IF(ABS(E16)&lt;='01_ZALOZENIA'!$E$24,"W tolerancji",IF(D16&gt;0,"Korzystne","Niekorzystne"))</x:f>
        <x:v>Niekorzystne</x:v>
      </x:c>
    </x:row>
    <x:row r="17">
      <x:c r="A17" s="60" t="n">
        <x:f>'11_BUDZET_2025'!A16</x:f>
        <x:v>45992</x:v>
      </x:c>
      <x:c r="B17" s="51" t="n">
        <x:f>'11_BUDZET_2025'!B16</x:f>
        <x:v>224186.094</x:v>
      </x:c>
      <x:c r="C17" s="51" t="n">
        <x:f>'11_BUDZET_2025'!C16</x:f>
        <x:v>579022.69</x:v>
      </x:c>
      <x:c r="D17" s="51" t="n">
        <x:f>B17-C17</x:f>
        <x:v>-354836.5959999999</x:v>
      </x:c>
      <x:c r="E17" s="49" t="n">
        <x:f>IFERROR(D17/C17,0)</x:f>
        <x:v>-0.6128198464899535</x:v>
      </x:c>
      <x:c r="F17" s="27" t="str">
        <x:f>IF(ABS(E17)&lt;='01_ZALOZENIA'!$E$24,"W tolerancji",IF(D17&gt;0,"Korzystne","Niekorzystne"))</x:f>
        <x:v>Niekorzystne</x:v>
      </x:c>
    </x:row>
    <x:row r="18">
      <x:c r="A18" s="219" t="str">
        <x:v>RAZEM</x:v>
      </x:c>
      <x:c r="B18" s="220" t="n">
        <x:f>'11_BUDZET_2025'!B18</x:f>
        <x:v>3514692.0275000003</x:v>
      </x:c>
      <x:c r="C18" s="220" t="n">
        <x:f>'11_BUDZET_2025'!C18</x:f>
        <x:v>5462374.780000001</x:v>
      </x:c>
      <x:c r="D18" s="220" t="n">
        <x:f>B18-C18</x:f>
        <x:v>-1947682.7525000009</x:v>
      </x:c>
      <x:c r="E18" s="221" t="n">
        <x:f>IFERROR(D18/C18,0)</x:f>
        <x:v>-0.35656336867094285</x:v>
      </x:c>
      <x:c r="F18" s="219" t="str">
        <x:f>IF(ABS(E18)&lt;='01_ZALOZENIA'!$E$24,"W tolerancji",IF(D18&gt;0,"Korzystne","Niekorzystne"))</x:f>
        <x:v>Niekorzystne</x:v>
      </x:c>
    </x:row>
    <x:row r="19" ht="35" customHeight="1">
      <x:c r="A19" s="103" t="str">
        <x:v>Suma roczna obejmuje również pozycję poza osią miesięczną z 11_BUDZET_2025. Tabela miesięczna powyżej pokazuje wyłącznie 12 miesięcy kalendarzowych.</x:v>
      </x:c>
      <x:c r="B19" s="104" t="str">
        <x:v>Suma roczna obejmuje również pozycję poza osią miesięczną z 11_BUDZET_2025. Tabela miesięczna powyżej pokazuje wyłącznie 12 miesięcy kalendarzowych.</x:v>
      </x:c>
      <x:c r="C19" s="104" t="str">
        <x:v>Suma roczna obejmuje również pozycję poza osią miesięczną z 11_BUDZET_2025. Tabela miesięczna powyżej pokazuje wyłącznie 12 miesięcy kalendarzowych.</x:v>
      </x:c>
      <x:c r="D19" s="104" t="str">
        <x:v>Suma roczna obejmuje również pozycję poza osią miesięczną z 11_BUDZET_2025. Tabela miesięczna powyżej pokazuje wyłącznie 12 miesięcy kalendarzowych.</x:v>
      </x:c>
      <x:c r="E19" s="104" t="str">
        <x:v>Suma roczna obejmuje również pozycję poza osią miesięczną z 11_BUDZET_2025. Tabela miesięczna powyżej pokazuje wyłącznie 12 miesięcy kalendarzowych.</x:v>
      </x:c>
      <x:c r="F19" s="105" t="str">
        <x:v>Suma roczna obejmuje również pozycję poza osią miesięczną z 11_BUDZET_2025. Tabela miesięczna powyżej pokazuje wyłącznie 12 miesięcy kalendarzowych.</x:v>
      </x:c>
    </x:row>
    <x:row r="20">
      <x:c r="A20" s="210"/>
      <x:c r="B20" s="210"/>
      <x:c r="C20" s="210"/>
      <x:c r="D20" s="210"/>
      <x:c r="E20" s="210"/>
      <x:c r="F20" s="210"/>
    </x:row>
    <x:row r="21" ht="23" customHeight="1">
      <x:c r="A21" s="16" t="str">
        <x:v>Odchylenie według kategorii</x:v>
      </x:c>
      <x:c r="B21" s="16" t="str">
        <x:v>Odchylenie według kategorii</x:v>
      </x:c>
      <x:c r="C21" s="16" t="str">
        <x:v>Odchylenie według kategorii</x:v>
      </x:c>
      <x:c r="D21" s="16" t="str">
        <x:v>Odchylenie według kategorii</x:v>
      </x:c>
      <x:c r="E21" s="16" t="str">
        <x:v>Odchylenie według kategorii</x:v>
      </x:c>
      <x:c r="F21" s="16" t="str">
        <x:v>Odchylenie według kategorii</x:v>
      </x:c>
    </x:row>
    <x:row r="22" ht="32" customHeight="1">
      <x:c r="A22" s="21" t="str">
        <x:v>Kategoria</x:v>
      </x:c>
      <x:c r="B22" s="21" t="str">
        <x:v>Wykonanie</x:v>
      </x:c>
      <x:c r="C22" s="21" t="str">
        <x:v>Budżet</x:v>
      </x:c>
      <x:c r="D22" s="21" t="str">
        <x:v>Odchylenie</x:v>
      </x:c>
      <x:c r="E22" s="21" t="str">
        <x:v>Odchylenie %</x:v>
      </x:c>
      <x:c r="F22" s="21" t="str">
        <x:v>Status</x:v>
      </x:c>
    </x:row>
    <x:row r="23">
      <x:c r="A23" s="24" t="str">
        <x:f>'07_KATEGORIE'!A5</x:f>
        <x:v>Dom i kuchnia</x:v>
      </x:c>
      <x:c r="B23" s="53" t="n">
        <x:f>'07_KATEGORIE'!B5</x:f>
        <x:v>800604.7090000003</x:v>
      </x:c>
      <x:c r="C23" s="53" t="n">
        <x:f>'07_KATEGORIE'!F5</x:f>
        <x:v>1299649.79</x:v>
      </x:c>
      <x:c r="D23" s="53" t="n">
        <x:f>B23-C23</x:f>
        <x:v>-499045.0809999998</x:v>
      </x:c>
      <x:c r="E23" s="47" t="n">
        <x:f>IFERROR(D23/C23,0)</x:f>
        <x:v>-0.3839842739481378</x:v>
      </x:c>
      <x:c r="F23" s="24" t="str">
        <x:f>IF(ABS(E23)&lt;='01_ZALOZENIA'!$E$24,"W tolerancji",IF(D23&gt;0,"Korzystne","Niekorzystne"))</x:f>
        <x:v>Niekorzystne</x:v>
      </x:c>
    </x:row>
    <x:row r="24">
      <x:c r="A24" s="27" t="str">
        <x:f>'07_KATEGORIE'!A6</x:f>
        <x:v>Biuro</x:v>
      </x:c>
      <x:c r="B24" s="51" t="n">
        <x:f>'07_KATEGORIE'!B6</x:f>
        <x:v>712949.9060000001</x:v>
      </x:c>
      <x:c r="C24" s="51" t="n">
        <x:f>'07_KATEGORIE'!F6</x:f>
        <x:v>867434.0599999999</x:v>
      </x:c>
      <x:c r="D24" s="51" t="n">
        <x:f>B24-C24</x:f>
        <x:v>-154484.15399999986</x:v>
      </x:c>
      <x:c r="E24" s="49" t="n">
        <x:f>IFERROR(D24/C24,0)</x:f>
        <x:v>-0.17809325356673206</x:v>
      </x:c>
      <x:c r="F24" s="27" t="str">
        <x:f>IF(ABS(E24)&lt;='01_ZALOZENIA'!$E$24,"W tolerancji",IF(D24&gt;0,"Korzystne","Niekorzystne"))</x:f>
        <x:v>Niekorzystne</x:v>
      </x:c>
    </x:row>
    <x:row r="25">
      <x:c r="A25" s="24" t="str">
        <x:f>'07_KATEGORIE'!A7</x:f>
        <x:v>Elektronika</x:v>
      </x:c>
      <x:c r="B25" s="53" t="n">
        <x:f>'07_KATEGORIE'!B7</x:f>
        <x:v>736996.1685000003</x:v>
      </x:c>
      <x:c r="C25" s="53" t="n">
        <x:f>'07_KATEGORIE'!F7</x:f>
        <x:v>1638758.28</x:v>
      </x:c>
      <x:c r="D25" s="53" t="n">
        <x:f>B25-C25</x:f>
        <x:v>-901762.1114999998</x:v>
      </x:c>
      <x:c r="E25" s="47" t="n">
        <x:f>IFERROR(D25/C25,0)</x:f>
        <x:v>-0.5502715821518227</x:v>
      </x:c>
      <x:c r="F25" s="24" t="str">
        <x:f>IF(ABS(E25)&lt;='01_ZALOZENIA'!$E$24,"W tolerancji",IF(D25&gt;0,"Korzystne","Niekorzystne"))</x:f>
        <x:v>Niekorzystne</x:v>
      </x:c>
    </x:row>
    <x:row r="26">
      <x:c r="A26" s="27" t="str">
        <x:f>'07_KATEGORIE'!A8</x:f>
        <x:v>Sport i turystyka</x:v>
      </x:c>
      <x:c r="B26" s="51" t="n">
        <x:f>'07_KATEGORIE'!B8</x:f>
        <x:v>668355.5160000006</x:v>
      </x:c>
      <x:c r="C26" s="51" t="n">
        <x:f>'07_KATEGORIE'!F8</x:f>
        <x:v>838762.86</x:v>
      </x:c>
      <x:c r="D26" s="51" t="n">
        <x:f>B26-C26</x:f>
        <x:v>-170407.34399999934</x:v>
      </x:c>
      <x:c r="E26" s="49" t="n">
        <x:f>IFERROR(D26/C26,0)</x:f>
        <x:v>-0.2031651043776537</x:v>
      </x:c>
      <x:c r="F26" s="27" t="str">
        <x:f>IF(ABS(E26)&lt;='01_ZALOZENIA'!$E$24,"W tolerancji",IF(D26&gt;0,"Korzystne","Niekorzystne"))</x:f>
        <x:v>Niekorzystne</x:v>
      </x:c>
    </x:row>
    <x:row r="27">
      <x:c r="A27" s="24" t="str">
        <x:f>'07_KATEGORIE'!A9</x:f>
        <x:v>Uroda i zdrowie</x:v>
      </x:c>
      <x:c r="B27" s="53" t="n">
        <x:f>'07_KATEGORIE'!B9</x:f>
        <x:v>595785.7279999999</x:v>
      </x:c>
      <x:c r="C27" s="53" t="n">
        <x:f>'07_KATEGORIE'!F9</x:f>
        <x:v>817769.7899999999</x:v>
      </x:c>
      <x:c r="D27" s="53" t="n">
        <x:f>B27-C27</x:f>
        <x:v>-221984.06200000003</x:v>
      </x:c>
      <x:c r="E27" s="47" t="n">
        <x:f>IFERROR(D27/C27,0)</x:f>
        <x:v>-0.27145055333971196</x:v>
      </x:c>
      <x:c r="F27" s="24" t="str">
        <x:f>IF(ABS(E27)&lt;='01_ZALOZENIA'!$E$24,"W tolerancji",IF(D27&gt;0,"Korzystne","Niekorzystne"))</x:f>
        <x:v>Niekorzystne</x:v>
      </x:c>
    </x:row>
    <x:row r="28">
      <x:c r="A28" s="219" t="str">
        <x:v>RAZEM</x:v>
      </x:c>
      <x:c r="B28" s="220" t="n">
        <x:f>SUM(B23:B27)</x:f>
        <x:v>3514692.027500001</x:v>
      </x:c>
      <x:c r="C28" s="220" t="n">
        <x:f>SUM(C23:C27)</x:f>
        <x:v>5462374.78</x:v>
      </x:c>
      <x:c r="D28" s="220" t="n">
        <x:f>SUM(D23:D27)</x:f>
        <x:v>-1947682.752499999</x:v>
      </x:c>
      <x:c r="E28" s="221" t="n">
        <x:f>IFERROR(D28/C28,0)</x:f>
        <x:v>-0.35656336867094257</x:v>
      </x:c>
      <x:c r="F28" s="219" t="str">
        <x:f>IF(D28&gt;0,"Korzystne","Niekorzystne")</x:f>
        <x:v>Niekorzystne</x:v>
      </x:c>
    </x:row>
    <x:row r="29">
      <x:c r="A29" s="210"/>
      <x:c r="B29" s="210"/>
      <x:c r="C29" s="210"/>
      <x:c r="D29" s="210"/>
      <x:c r="E29" s="210"/>
      <x:c r="F29" s="210"/>
    </x:row>
    <x:row r="30">
      <x:c r="A30" s="210"/>
      <x:c r="B30" s="210"/>
      <x:c r="C30" s="210"/>
      <x:c r="D30" s="210"/>
      <x:c r="E30" s="210"/>
      <x:c r="F30" s="210"/>
    </x:row>
    <x:row r="31" ht="23" customHeight="1">
      <x:c r="A31" s="16" t="str">
        <x:v>Odchylenie według kanału</x:v>
      </x:c>
      <x:c r="B31" s="16" t="str">
        <x:v>Odchylenie według kanału</x:v>
      </x:c>
      <x:c r="C31" s="16" t="str">
        <x:v>Odchylenie według kanału</x:v>
      </x:c>
      <x:c r="D31" s="16" t="str">
        <x:v>Odchylenie według kanału</x:v>
      </x:c>
      <x:c r="E31" s="16" t="str">
        <x:v>Odchylenie według kanału</x:v>
      </x:c>
      <x:c r="F31" s="16" t="str">
        <x:v>Odchylenie według kanału</x:v>
      </x:c>
    </x:row>
    <x:row r="32" ht="32" customHeight="1">
      <x:c r="A32" s="21" t="str">
        <x:v>Kanał</x:v>
      </x:c>
      <x:c r="B32" s="21" t="str">
        <x:v>Wykonanie</x:v>
      </x:c>
      <x:c r="C32" s="21" t="str">
        <x:v>Budżet</x:v>
      </x:c>
      <x:c r="D32" s="21" t="str">
        <x:v>Odchylenie</x:v>
      </x:c>
      <x:c r="E32" s="21" t="str">
        <x:v>Odchylenie %</x:v>
      </x:c>
      <x:c r="F32" s="21" t="str">
        <x:v>Status</x:v>
      </x:c>
    </x:row>
    <x:row r="33">
      <x:c r="A33" s="24" t="str">
        <x:f>'08_KANALY'!A5</x:f>
        <x:v>Marketplace</x:v>
      </x:c>
      <x:c r="B33" s="53" t="n">
        <x:f>'08_KANALY'!B5</x:f>
        <x:v>662934.3545000001</x:v>
      </x:c>
      <x:c r="C33" s="53" t="n">
        <x:f>'08_KANALY'!G5</x:f>
        <x:v>1205491.3800000001</x:v>
      </x:c>
      <x:c r="D33" s="53" t="n">
        <x:f>B33-C33</x:f>
        <x:v>-542557.0255</x:v>
      </x:c>
      <x:c r="E33" s="47" t="n">
        <x:f>IFERROR(D33/C33,0)</x:f>
        <x:v>-0.4500712609823887</x:v>
      </x:c>
      <x:c r="F33" s="24" t="str">
        <x:f>IF(ABS(E33)&lt;='01_ZALOZENIA'!$E$24,"W tolerancji",IF(D33&gt;0,"Korzystne","Niekorzystne"))</x:f>
        <x:v>Niekorzystne</x:v>
      </x:c>
    </x:row>
    <x:row r="34">
      <x:c r="A34" s="27" t="str">
        <x:f>'08_KANALY'!A6</x:f>
        <x:v>Sklep online</x:v>
      </x:c>
      <x:c r="B34" s="51" t="n">
        <x:f>'08_KANALY'!B6</x:f>
        <x:v>1447087.3649999984</x:v>
      </x:c>
      <x:c r="C34" s="51" t="n">
        <x:f>'08_KANALY'!G6</x:f>
        <x:v>2691046.55</x:v>
      </x:c>
      <x:c r="D34" s="51" t="n">
        <x:f>B34-C34</x:f>
        <x:v>-1243959.1850000015</x:v>
      </x:c>
      <x:c r="E34" s="49" t="n">
        <x:f>IFERROR(D34/C34,0)</x:f>
        <x:v>-0.46225851611522717</x:v>
      </x:c>
      <x:c r="F34" s="27" t="str">
        <x:f>IF(ABS(E34)&lt;='01_ZALOZENIA'!$E$24,"W tolerancji",IF(D34&gt;0,"Korzystne","Niekorzystne"))</x:f>
        <x:v>Niekorzystne</x:v>
      </x:c>
    </x:row>
    <x:row r="35">
      <x:c r="A35" s="24" t="str">
        <x:f>'08_KANALY'!A7</x:f>
        <x:v>Sklep stacjonarny</x:v>
      </x:c>
      <x:c r="B35" s="53" t="n">
        <x:f>'08_KANALY'!B7</x:f>
        <x:v>549296.5900000003</x:v>
      </x:c>
      <x:c r="C35" s="53" t="n">
        <x:f>'08_KANALY'!G7</x:f>
        <x:v>1190307.94</x:v>
      </x:c>
      <x:c r="D35" s="53" t="n">
        <x:f>B35-C35</x:f>
        <x:v>-641011.3499999996</x:v>
      </x:c>
      <x:c r="E35" s="47" t="n">
        <x:f>IFERROR(D35/C35,0)</x:f>
        <x:v>-0.5385256440446828</x:v>
      </x:c>
      <x:c r="F35" s="24" t="str">
        <x:f>IF(ABS(E35)&lt;='01_ZALOZENIA'!$E$24,"W tolerancji",IF(D35&gt;0,"Korzystne","Niekorzystne"))</x:f>
        <x:v>Niekorzystne</x:v>
      </x:c>
    </x:row>
    <x:row r="36">
      <x:c r="A36" s="27" t="str">
        <x:f>'08_KANALY'!A8</x:f>
        <x:v>Telefon/B2B</x:v>
      </x:c>
      <x:c r="B36" s="51" t="n">
        <x:f>'08_KANALY'!B8</x:f>
        <x:v>855373.7180000001</x:v>
      </x:c>
      <x:c r="C36" s="51" t="n">
        <x:f>'08_KANALY'!G8</x:f>
        <x:v>375528.91</x:v>
      </x:c>
      <x:c r="D36" s="51" t="n">
        <x:f>B36-C36</x:f>
        <x:v>479844.80800000014</x:v>
      </x:c>
      <x:c r="E36" s="49" t="n">
        <x:f>IFERROR(D36/C36,0)</x:f>
        <x:v>1.2777839341317294</x:v>
      </x:c>
      <x:c r="F36" s="27" t="str">
        <x:f>IF(ABS(E36)&lt;='01_ZALOZENIA'!$E$24,"W tolerancji",IF(D36&gt;0,"Korzystne","Niekorzystne"))</x:f>
        <x:v>Korzystne</x:v>
      </x:c>
    </x:row>
    <x:row r="37">
      <x:c r="A37" s="219" t="str">
        <x:v>RAZEM</x:v>
      </x:c>
      <x:c r="B37" s="220" t="n">
        <x:f>SUM(B33:B36)</x:f>
        <x:v>3514692.027499999</x:v>
      </x:c>
      <x:c r="C37" s="220" t="n">
        <x:f>SUM(C33:C36)</x:f>
        <x:v>5462374.779999999</x:v>
      </x:c>
      <x:c r="D37" s="220" t="n">
        <x:f>SUM(D33:D36)</x:f>
        <x:v>-1947682.7525000009</x:v>
      </x:c>
      <x:c r="E37" s="221" t="n">
        <x:f>IFERROR(D37/C37,0)</x:f>
        <x:v>-0.356563368670943</x:v>
      </x:c>
      <x:c r="F37" s="219" t="str">
        <x:f>IF(D37&gt;0,"Korzystne","Niekorzystne")</x:f>
        <x:v>Niekorzystne</x:v>
      </x:c>
    </x:row>
  </x:sheetData>
  <x:mergeCells>
    <x:mergeCell ref="A1:F1"/>
    <x:mergeCell ref="A2:F2"/>
    <x:mergeCell ref="A4:F4"/>
    <x:mergeCell ref="A19:F19"/>
    <x:mergeCell ref="A21:F21"/>
    <x:mergeCell ref="A31:F31"/>
  </x:mergeCells>
  <x:conditionalFormatting sqref="F6:F18">
    <x:cfRule type="containsText" dxfId="6" priority="1" operator="containsText" text="Niekorzystne"/>
    <x:cfRule type="containsText" dxfId="7" priority="2" operator="containsText" text="Korzystne"/>
  </x:conditionalFormatting>
  <x:conditionalFormatting sqref="F23:F28">
    <x:cfRule type="containsText" dxfId="8" priority="3" operator="containsText" text="Niekorzystne"/>
    <x:cfRule type="containsText" dxfId="9" priority="4" operator="containsText" text="Korzystne"/>
  </x:conditionalFormatting>
  <x:conditionalFormatting sqref="F33:F37">
    <x:cfRule type="containsText" dxfId="10" priority="5" operator="containsText" text="Niekorzystne"/>
    <x:cfRule type="containsText" dxfId="11" priority="6" operator="containsText" text="Korzystn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16" t="str">
        <x:v>MOST CENA - WOLUMEN - MIKS 2025 → PLAN 2026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</x:row>
    <x:row r="2" ht="32" customHeight="1">
      <x:c r="A2" s="42" t="str">
        <x:v>Wolumen = liczba rzeczywistych zamówień po kontroli. Cena = średnia wartość zamówienia. Interakcja pokazuje łączny wpływ jednoczesnej zmiany obu driverów.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</x:row>
    <x:row r="4" ht="32" customHeight="1">
      <x:c r="A4" s="21" t="str">
        <x:v>Kanał</x:v>
      </x:c>
      <x:c r="B4" s="21" t="str">
        <x:v>Zamówienia 2025</x:v>
      </x:c>
      <x:c r="C4" s="21" t="str">
        <x:v>Śr. wartość 2025</x:v>
      </x:c>
      <x:c r="D4" s="21" t="str">
        <x:v>Przychód 2025</x:v>
      </x:c>
      <x:c r="E4" s="21" t="str">
        <x:v>Zamówienia plan</x:v>
      </x:c>
      <x:c r="F4" s="21" t="str">
        <x:v>Śr. wartość plan</x:v>
      </x:c>
      <x:c r="G4" s="21" t="str">
        <x:v>Przychód plan</x:v>
      </x:c>
      <x:c r="H4" s="21" t="str">
        <x:v>Efekt wolumenu</x:v>
      </x:c>
      <x:c r="I4" s="21" t="str">
        <x:v>Efekt ceny</x:v>
      </x:c>
      <x:c r="J4" s="21" t="str">
        <x:v>Interakcja / miks</x:v>
      </x:c>
      <x:c r="K4" s="21" t="str">
        <x:v>Most przychodu</x:v>
      </x:c>
      <x:c r="L4" s="21" t="str">
        <x:v>Zmiana planu</x:v>
      </x:c>
      <x:c r="M4" s="21" t="str">
        <x:v>Kontrola mostu</x:v>
      </x:c>
    </x:row>
    <x:row r="5">
      <x:c r="A5" s="24" t="str">
        <x:f>'08_KANALY'!A5</x:f>
        <x:v>Marketplace</x:v>
      </x:c>
      <x:c r="B5" s="65" t="n">
        <x:f>'08_KANALY'!C5</x:f>
        <x:v>273</x:v>
      </x:c>
      <x:c r="C5" s="53" t="n">
        <x:f>'08_KANALY'!D5</x:f>
        <x:v>2428.3309688644695</x:v>
      </x:c>
      <x:c r="D5" s="53" t="n">
        <x:f>'08_KANALY'!B5</x:f>
        <x:v>662934.3545000001</x:v>
      </x:c>
      <x:c r="E5" s="65" t="n">
        <x:f>'08_KANALY'!J5</x:f>
        <x:v>281.19</x:v>
      </x:c>
      <x:c r="F5" s="53" t="n">
        <x:f>'08_KANALY'!K5</x:f>
        <x:v>2525.4642076190485</x:v>
      </x:c>
      <x:c r="G5" s="53" t="n">
        <x:f>'08_KANALY'!L5</x:f>
        <x:v>710135.2805404002</x:v>
      </x:c>
      <x:c r="H5" s="53" t="n">
        <x:f>(E5-B5)*C5</x:f>
        <x:v>19888.030635</x:v>
      </x:c>
      <x:c r="I5" s="53" t="n">
        <x:f>B5*(F5-C5)</x:f>
        <x:v>26517.374180000064</x:v>
      </x:c>
      <x:c r="J5" s="53" t="n">
        <x:f>(E5-B5)*(F5-C5)</x:f>
        <x:v>795.5212254000018</x:v>
      </x:c>
      <x:c r="K5" s="53" t="n">
        <x:f>D5+H5+I5+J5</x:f>
        <x:v>710135.2805404002</x:v>
      </x:c>
      <x:c r="L5" s="53" t="n">
        <x:f>G5-D5</x:f>
        <x:v>47200.92604040005</x:v>
      </x:c>
      <x:c r="M5" s="53" t="n">
        <x:f>K5-G5</x:f>
        <x:v>0</x:v>
      </x:c>
    </x:row>
    <x:row r="6">
      <x:c r="A6" s="27" t="str">
        <x:f>'08_KANALY'!A6</x:f>
        <x:v>Sklep online</x:v>
      </x:c>
      <x:c r="B6" s="66" t="n">
        <x:f>'08_KANALY'!C6</x:f>
        <x:v>614</x:v>
      </x:c>
      <x:c r="C6" s="51" t="n">
        <x:f>'08_KANALY'!D6</x:f>
        <x:v>2356.8198127035803</x:v>
      </x:c>
      <x:c r="D6" s="51" t="n">
        <x:f>'08_KANALY'!B6</x:f>
        <x:v>1447087.3649999984</x:v>
      </x:c>
      <x:c r="E6" s="66" t="n">
        <x:f>'08_KANALY'!J6</x:f>
        <x:v>632.4200000000001</x:v>
      </x:c>
      <x:c r="F6" s="51" t="n">
        <x:f>'08_KANALY'!K6</x:f>
        <x:v>2451.0926052117234</x:v>
      </x:c>
      <x:c r="G6" s="51" t="n">
        <x:f>'08_KANALY'!L6</x:f>
        <x:v>1550119.9853879982</x:v>
      </x:c>
      <x:c r="H6" s="51" t="n">
        <x:f>(E6-B6)*C6</x:f>
        <x:v>43412.62095000012</x:v>
      </x:c>
      <x:c r="I6" s="51" t="n">
        <x:f>B6*(F6-C6)</x:f>
        <x:v>57883.49459999985</x:v>
      </x:c>
      <x:c r="J6" s="51" t="n">
        <x:f>(E6-B6)*(F6-C6)</x:f>
        <x:v>1736.5048380000026</x:v>
      </x:c>
      <x:c r="K6" s="51" t="n">
        <x:f>D6+H6+I6+J6</x:f>
        <x:v>1550119.9853879984</x:v>
      </x:c>
      <x:c r="L6" s="51" t="n">
        <x:f>G6-D6</x:f>
        <x:v>103032.6203879998</x:v>
      </x:c>
      <x:c r="M6" s="51" t="n">
        <x:f>K6-G6</x:f>
        <x:v>2.3283064365386963e-10</x:v>
      </x:c>
    </x:row>
    <x:row r="7">
      <x:c r="A7" s="24" t="str">
        <x:f>'08_KANALY'!A7</x:f>
        <x:v>Sklep stacjonarny</x:v>
      </x:c>
      <x:c r="B7" s="65" t="n">
        <x:f>'08_KANALY'!C7</x:f>
        <x:v>262</x:v>
      </x:c>
      <x:c r="C7" s="53" t="n">
        <x:f>'08_KANALY'!D7</x:f>
        <x:v>2096.5518702290087</x:v>
      </x:c>
      <x:c r="D7" s="53" t="n">
        <x:f>'08_KANALY'!B7</x:f>
        <x:v>549296.5900000003</x:v>
      </x:c>
      <x:c r="E7" s="65" t="n">
        <x:f>'08_KANALY'!J7</x:f>
        <x:v>269.86</x:v>
      </x:c>
      <x:c r="F7" s="53" t="n">
        <x:f>'08_KANALY'!K7</x:f>
        <x:v>2180.413945038169</x:v>
      </x:c>
      <x:c r="G7" s="53" t="n">
        <x:f>'08_KANALY'!L7</x:f>
        <x:v>588406.5072080003</x:v>
      </x:c>
      <x:c r="H7" s="53" t="n">
        <x:f>(E7-B7)*C7</x:f>
        <x:v>16478.897700000038</x:v>
      </x:c>
      <x:c r="I7" s="53" t="n">
        <x:f>B7*(F7-C7)</x:f>
        <x:v>21971.863599999993</x:v>
      </x:c>
      <x:c r="J7" s="53" t="n">
        <x:f>(E7-B7)*(F7-C7)</x:f>
        <x:v>659.1559080000009</x:v>
      </x:c>
      <x:c r="K7" s="53" t="n">
        <x:f>D7+H7+I7+J7</x:f>
        <x:v>588406.5072080004</x:v>
      </x:c>
      <x:c r="L7" s="53" t="n">
        <x:f>G7-D7</x:f>
        <x:v>39109.91720799997</x:v>
      </x:c>
      <x:c r="M7" s="53" t="n">
        <x:f>K7-G7</x:f>
        <x:v>1.1641532182693481e-10</x:v>
      </x:c>
    </x:row>
    <x:row r="8">
      <x:c r="A8" s="27" t="str">
        <x:f>'08_KANALY'!A8</x:f>
        <x:v>Telefon/B2B</x:v>
      </x:c>
      <x:c r="B8" s="66" t="n">
        <x:f>'08_KANALY'!C8</x:f>
        <x:v>110</x:v>
      </x:c>
      <x:c r="C8" s="51" t="n">
        <x:f>'08_KANALY'!D8</x:f>
        <x:v>7776.12470909091</x:v>
      </x:c>
      <x:c r="D8" s="51" t="n">
        <x:f>'08_KANALY'!B8</x:f>
        <x:v>855373.7180000001</x:v>
      </x:c>
      <x:c r="E8" s="66" t="n">
        <x:f>'08_KANALY'!J8</x:f>
        <x:v>113.3</x:v>
      </x:c>
      <x:c r="F8" s="51" t="n">
        <x:f>'08_KANALY'!K8</x:f>
        <x:v>8087.169697454547</x:v>
      </x:c>
      <x:c r="G8" s="51" t="n">
        <x:f>'08_KANALY'!L8</x:f>
        <x:v>916276.3267216001</x:v>
      </x:c>
      <x:c r="H8" s="51" t="n">
        <x:f>(E8-B8)*C8</x:f>
        <x:v>25661.211539999982</x:v>
      </x:c>
      <x:c r="I8" s="51" t="n">
        <x:f>B8*(F8-C8)</x:f>
        <x:v>34214.94872000002</x:v>
      </x:c>
      <x:c r="J8" s="51" t="n">
        <x:f>(E8-B8)*(F8-C8)</x:f>
        <x:v>1026.4484615999997</x:v>
      </x:c>
      <x:c r="K8" s="51" t="n">
        <x:f>D8+H8+I8+J8</x:f>
        <x:v>916276.3267216</x:v>
      </x:c>
      <x:c r="L8" s="51" t="n">
        <x:f>G8-D8</x:f>
        <x:v>60902.60872160003</x:v>
      </x:c>
      <x:c r="M8" s="51" t="n">
        <x:f>K8-G8</x:f>
        <x:v>-1.1641532182693481e-10</x:v>
      </x:c>
    </x:row>
    <x:row r="9">
      <x:c r="A9" s="219" t="str">
        <x:v>RAZEM</x:v>
      </x:c>
      <x:c r="B9" s="222" t="n">
        <x:f>SUM(B5:B8)</x:f>
        <x:v>1259</x:v>
      </x:c>
      <x:c r="C9" s="220" t="n">
        <x:f>IFERROR(D9/B9,0)</x:f>
        <x:v>2791.653715250198</x:v>
      </x:c>
      <x:c r="D9" s="220" t="n">
        <x:f>SUM(D5:D8)</x:f>
        <x:v>3514692.027499999</x:v>
      </x:c>
      <x:c r="E9" s="222" t="n">
        <x:f>SUM(E5:E8)</x:f>
        <x:v>1296.7700000000002</x:v>
      </x:c>
      <x:c r="F9" s="220" t="n">
        <x:f>IFERROR(G9/E9,0)</x:f>
        <x:v>2903.3198638602053</x:v>
      </x:c>
      <x:c r="G9" s="220" t="n">
        <x:f>SUM(G5:G8)</x:f>
        <x:v>3764938.099857999</x:v>
      </x:c>
      <x:c r="H9" s="220" t="n">
        <x:f>SUM(H5:H8)</x:f>
        <x:v>105440.76082500015</x:v>
      </x:c>
      <x:c r="I9" s="220" t="n">
        <x:f>SUM(I5:I8)</x:f>
        <x:v>140587.68109999993</x:v>
      </x:c>
      <x:c r="J9" s="220" t="n">
        <x:f>SUM(J5:J8)</x:f>
        <x:v>4217.630433000005</x:v>
      </x:c>
      <x:c r="K9" s="220" t="n">
        <x:f>SUM(K5:K8)</x:f>
        <x:v>3764938.099857999</x:v>
      </x:c>
      <x:c r="L9" s="220" t="n">
        <x:f>SUM(L5:L8)</x:f>
        <x:v>250246.07235799986</x:v>
      </x:c>
      <x:c r="M9" s="220" t="n">
        <x:f>SUM(M5:M8)</x:f>
        <x:v>2.3283064365386963e-10</x:v>
      </x:c>
    </x:row>
    <x:row r="10">
      <x:c r="A10" s="210"/>
      <x:c r="B10" s="210"/>
      <x:c r="C10" s="210"/>
      <x:c r="D10" s="210"/>
      <x:c r="E10" s="210"/>
      <x:c r="F10" s="210"/>
      <x:c r="G10" s="210"/>
      <x:c r="H10" s="210"/>
      <x:c r="I10" s="210"/>
      <x:c r="J10" s="210"/>
      <x:c r="K10" s="210"/>
      <x:c r="L10" s="210"/>
      <x:c r="M10" s="210"/>
    </x:row>
    <x:row r="11" ht="35" customHeight="1">
      <x:c r="A11" s="38" t="str">
        <x:v>Kontrola mostu powinna wynosić 0,00 PLN. W tym modelu zachowany jest miks kanałów; kolumna Interakcja / miks jest matematyczną interakcją ceny i wolumenu, a nie ręcznie dopisaną korektą.</x:v>
      </x:c>
      <x:c r="B11" s="39" t="str">
        <x:v>Kontrola mostu powinna wynosić 0,00 PLN. W tym modelu zachowany jest miks kanałów; kolumna Interakcja / miks jest matematyczną interakcją ceny i wolumenu, a nie ręcznie dopisaną korektą.</x:v>
      </x:c>
      <x:c r="C11" s="39" t="str">
        <x:v>Kontrola mostu powinna wynosić 0,00 PLN. W tym modelu zachowany jest miks kanałów; kolumna Interakcja / miks jest matematyczną interakcją ceny i wolumenu, a nie ręcznie dopisaną korektą.</x:v>
      </x:c>
      <x:c r="D11" s="39" t="str">
        <x:v>Kontrola mostu powinna wynosić 0,00 PLN. W tym modelu zachowany jest miks kanałów; kolumna Interakcja / miks jest matematyczną interakcją ceny i wolumenu, a nie ręcznie dopisaną korektą.</x:v>
      </x:c>
      <x:c r="E11" s="39" t="str">
        <x:v>Kontrola mostu powinna wynosić 0,00 PLN. W tym modelu zachowany jest miks kanałów; kolumna Interakcja / miks jest matematyczną interakcją ceny i wolumenu, a nie ręcznie dopisaną korektą.</x:v>
      </x:c>
      <x:c r="F11" s="39" t="str">
        <x:v>Kontrola mostu powinna wynosić 0,00 PLN. W tym modelu zachowany jest miks kanałów; kolumna Interakcja / miks jest matematyczną interakcją ceny i wolumenu, a nie ręcznie dopisaną korektą.</x:v>
      </x:c>
      <x:c r="G11" s="39" t="str">
        <x:v>Kontrola mostu powinna wynosić 0,00 PLN. W tym modelu zachowany jest miks kanałów; kolumna Interakcja / miks jest matematyczną interakcją ceny i wolumenu, a nie ręcznie dopisaną korektą.</x:v>
      </x:c>
      <x:c r="H11" s="39" t="str">
        <x:v>Kontrola mostu powinna wynosić 0,00 PLN. W tym modelu zachowany jest miks kanałów; kolumna Interakcja / miks jest matematyczną interakcją ceny i wolumenu, a nie ręcznie dopisaną korektą.</x:v>
      </x:c>
      <x:c r="I11" s="39" t="str">
        <x:v>Kontrola mostu powinna wynosić 0,00 PLN. W tym modelu zachowany jest miks kanałów; kolumna Interakcja / miks jest matematyczną interakcją ceny i wolumenu, a nie ręcznie dopisaną korektą.</x:v>
      </x:c>
      <x:c r="J11" s="39" t="str">
        <x:v>Kontrola mostu powinna wynosić 0,00 PLN. W tym modelu zachowany jest miks kanałów; kolumna Interakcja / miks jest matematyczną interakcją ceny i wolumenu, a nie ręcznie dopisaną korektą.</x:v>
      </x:c>
      <x:c r="K11" s="39" t="str">
        <x:v>Kontrola mostu powinna wynosić 0,00 PLN. W tym modelu zachowany jest miks kanałów; kolumna Interakcja / miks jest matematyczną interakcją ceny i wolumenu, a nie ręcznie dopisaną korektą.</x:v>
      </x:c>
      <x:c r="L11" s="39" t="str">
        <x:v>Kontrola mostu powinna wynosić 0,00 PLN. W tym modelu zachowany jest miks kanałów; kolumna Interakcja / miks jest matematyczną interakcją ceny i wolumenu, a nie ręcznie dopisaną korektą.</x:v>
      </x:c>
      <x:c r="M11" s="40" t="str">
        <x:v>Kontrola mostu powinna wynosić 0,00 PLN. W tym modelu zachowany jest miks kanałów; kolumna Interakcja / miks jest matematyczną interakcją ceny i wolumenu, a nie ręcznie dopisaną korektą.</x:v>
      </x:c>
    </x:row>
  </x:sheetData>
  <x:mergeCells>
    <x:mergeCell ref="A1:M1"/>
    <x:mergeCell ref="A2:M2"/>
    <x:mergeCell ref="A11:M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2" hidden="0" customWidth="1"/>
    <x:col min="4" max="4" width="18" hidden="0" customWidth="1"/>
    <x:col min="5" max="5" width="15" hidden="0" customWidth="1"/>
    <x:col min="6" max="6" width="17" hidden="0" customWidth="1"/>
    <x:col min="7" max="7" width="13" hidden="0" customWidth="1"/>
    <x:col min="8" max="8" width="19" hidden="0" customWidth="1"/>
    <x:col min="9" max="9" width="19" hidden="0" customWidth="1"/>
    <x:col min="10" max="10" width="21" hidden="0" customWidth="1"/>
    <x:col min="11" max="11" width="15" hidden="0" customWidth="1"/>
    <x:col min="12" max="12" width="15" hidden="0" customWidth="1"/>
    <x:col min="13" max="13" width="15" hidden="0" customWidth="1"/>
    <x:col min="14" max="14" width="19" hidden="0" customWidth="1"/>
  </x:cols>
  <x:sheetData>
    <x:row r="1">
      <x:c r="A1" s="216" t="str">
        <x:v>ZATRUDNIENIE I KOSZTY WYNAGRODZEŃ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Jawny harmonogram FTE. To warstwa planistyczna, ponieważ skoroszyt sprzedażowy nie zawiera listy płac ani rzeczywistych kosztów zatrudnienia.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Centrum kosztów</x:v>
      </x:c>
      <x:c r="B4" s="21" t="str">
        <x:v>Stanowisko / funkcja</x:v>
      </x:c>
      <x:c r="C4" s="21" t="str">
        <x:v>FTE 2025</x:v>
      </x:c>
      <x:c r="D4" s="21" t="str">
        <x:v>Płaca mies. brutto</x:v>
      </x:c>
      <x:c r="E4" s="21" t="str">
        <x:v>Nowe FTE 2026</x:v>
      </x:c>
      <x:c r="F4" s="21" t="str">
        <x:v>Start nowych FTE</x:v>
      </x:c>
      <x:c r="G4" s="21" t="str">
        <x:v>Narzuty</x:v>
      </x:c>
      <x:c r="H4" s="21" t="str">
        <x:v>Koszt roczny 2025</x:v>
      </x:c>
      <x:c r="I4" s="21" t="str">
        <x:v>Koszt roczny 2026</x:v>
      </x:c>
      <x:c r="J4" s="21" t="str">
        <x:v>Koszt nowych FTE - baza</x:v>
      </x:c>
      <x:c r="K4" s="210"/>
      <x:c r="L4" s="210"/>
      <x:c r="M4" s="210"/>
      <x:c r="N4" s="210"/>
    </x:row>
    <x:row r="5">
      <x:c r="A5" s="24" t="str">
        <x:v>CC100</x:v>
      </x:c>
      <x:c r="B5" s="24" t="str">
        <x:v>Specjalista sprzedaży</x:v>
      </x:c>
      <x:c r="C5" s="78" t="n">
        <x:v>2.5</x:v>
      </x:c>
      <x:c r="D5" s="53" t="n">
        <x:v>4800</x:v>
      </x:c>
      <x:c r="E5" s="78" t="n">
        <x:v>0.4</x:v>
      </x:c>
      <x:c r="F5" s="59" t="n">
        <x:v>46204</x:v>
      </x:c>
      <x:c r="G5" s="47" t="n">
        <x:f>'01_ZALOZENIA'!$E$16</x:f>
        <x:v>0.2</x:v>
      </x:c>
      <x:c r="H5" s="53" t="n">
        <x:f>SUM(B26:M26)</x:f>
        <x:v>172800</x:v>
      </x:c>
      <x:c r="I5" s="53" t="n">
        <x:f>SUM(B15:M15)</x:f>
        <x:v>199687.68</x:v>
      </x:c>
      <x:c r="J5" s="53" t="n">
        <x:f>IF(F5="",0,E5*D5*(1+G5)*(13-MONTH(F5)))</x:f>
        <x:v>13824</x:v>
      </x:c>
      <x:c r="K5" s="210"/>
      <x:c r="L5" s="210"/>
      <x:c r="M5" s="210"/>
      <x:c r="N5" s="210"/>
    </x:row>
    <x:row r="6">
      <x:c r="A6" s="27" t="str">
        <x:v>CC200</x:v>
      </x:c>
      <x:c r="B6" s="27" t="str">
        <x:v>Marketing</x:v>
      </x:c>
      <x:c r="C6" s="79" t="n">
        <x:v>0.8</x:v>
      </x:c>
      <x:c r="D6" s="51" t="n">
        <x:v>6000</x:v>
      </x:c>
      <x:c r="E6" s="79" t="n">
        <x:v>0.2</x:v>
      </x:c>
      <x:c r="F6" s="60" t="n">
        <x:v>46266</x:v>
      </x:c>
      <x:c r="G6" s="49" t="n">
        <x:f>'01_ZALOZENIA'!$E$16</x:f>
        <x:v>0.2</x:v>
      </x:c>
      <x:c r="H6" s="51" t="n">
        <x:f>SUM(B27:M27)</x:f>
        <x:v>69120</x:v>
      </x:c>
      <x:c r="I6" s="51" t="n">
        <x:f>SUM(B16:M16)</x:f>
        <x:v>80121.59999999999</x:v>
      </x:c>
      <x:c r="J6" s="51" t="n">
        <x:f>IF(F6="",0,E6*D6*(1+G6)*(13-MONTH(F6)))</x:f>
        <x:v>5760</x:v>
      </x:c>
      <x:c r="K6" s="210"/>
      <x:c r="L6" s="210"/>
      <x:c r="M6" s="210"/>
      <x:c r="N6" s="210"/>
    </x:row>
    <x:row r="7">
      <x:c r="A7" s="24" t="str">
        <x:v>CC300</x:v>
      </x:c>
      <x:c r="B7" s="24" t="str">
        <x:v>Logistyka</x:v>
      </x:c>
      <x:c r="C7" s="78" t="n">
        <x:v>1.5</x:v>
      </x:c>
      <x:c r="D7" s="53" t="n">
        <x:v>4800</x:v>
      </x:c>
      <x:c r="E7" s="78" t="n">
        <x:v>0.3</x:v>
      </x:c>
      <x:c r="F7" s="59" t="n">
        <x:v>46296</x:v>
      </x:c>
      <x:c r="G7" s="47" t="n">
        <x:f>'01_ZALOZENIA'!$E$16</x:f>
        <x:v>0.2</x:v>
      </x:c>
      <x:c r="H7" s="53" t="n">
        <x:f>SUM(B28:M28)</x:f>
        <x:v>103680</x:v>
      </x:c>
      <x:c r="I7" s="53" t="n">
        <x:f>SUM(B17:M17)</x:f>
        <x:v>116484.48</x:v>
      </x:c>
      <x:c r="J7" s="53" t="n">
        <x:f>IF(F7="",0,E7*D7*(1+G7)*(13-MONTH(F7)))</x:f>
        <x:v>5184</x:v>
      </x:c>
      <x:c r="K7" s="210"/>
      <x:c r="L7" s="210"/>
      <x:c r="M7" s="210"/>
      <x:c r="N7" s="210"/>
    </x:row>
    <x:row r="8">
      <x:c r="A8" s="27" t="str">
        <x:v>CC400</x:v>
      </x:c>
      <x:c r="B8" s="27" t="str">
        <x:v>Administracja</x:v>
      </x:c>
      <x:c r="C8" s="79" t="n">
        <x:v>0.8</x:v>
      </x:c>
      <x:c r="D8" s="51" t="n">
        <x:v>6000</x:v>
      </x:c>
      <x:c r="E8" s="79" t="n">
        <x:v>0</x:v>
      </x:c>
      <x:c r="F8" s="60"/>
      <x:c r="G8" s="49" t="n">
        <x:f>'01_ZALOZENIA'!$E$16</x:f>
        <x:v>0.2</x:v>
      </x:c>
      <x:c r="H8" s="51" t="n">
        <x:f>SUM(B29:M29)</x:f>
        <x:v>69120</x:v>
      </x:c>
      <x:c r="I8" s="51" t="n">
        <x:f>SUM(B18:M18)</x:f>
        <x:v>73958.39999999998</x:v>
      </x:c>
      <x:c r="J8" s="51" t="n">
        <x:f>IF(F8="",0,E8*D8*(1+G8)*(13-MONTH(F8)))</x:f>
        <x:v>0</x:v>
      </x:c>
      <x:c r="K8" s="210"/>
      <x:c r="L8" s="210"/>
      <x:c r="M8" s="210"/>
      <x:c r="N8" s="210"/>
    </x:row>
    <x:row r="9">
      <x:c r="A9" s="24" t="str">
        <x:v>CC500</x:v>
      </x:c>
      <x:c r="B9" s="24" t="str">
        <x:v>IT</x:v>
      </x:c>
      <x:c r="C9" s="78" t="n">
        <x:v>0.4</x:v>
      </x:c>
      <x:c r="D9" s="53" t="n">
        <x:v>9000</x:v>
      </x:c>
      <x:c r="E9" s="78" t="n">
        <x:v>0</x:v>
      </x:c>
      <x:c r="F9" s="59"/>
      <x:c r="G9" s="47" t="n">
        <x:f>'01_ZALOZENIA'!$E$16</x:f>
        <x:v>0.2</x:v>
      </x:c>
      <x:c r="H9" s="53" t="n">
        <x:f>SUM(B30:M30)</x:f>
        <x:v>51840</x:v>
      </x:c>
      <x:c r="I9" s="53" t="n">
        <x:f>SUM(B19:M19)</x:f>
        <x:v>55468.80000000001</x:v>
      </x:c>
      <x:c r="J9" s="53" t="n">
        <x:f>IF(F9="",0,E9*D9*(1+G9)*(13-MONTH(F9)))</x:f>
        <x:v>0</x:v>
      </x:c>
      <x:c r="K9" s="210"/>
      <x:c r="L9" s="210"/>
      <x:c r="M9" s="210"/>
      <x:c r="N9" s="210"/>
    </x:row>
    <x:row r="10">
      <x:c r="A10" s="27" t="str">
        <x:v>CC600</x:v>
      </x:c>
      <x:c r="B10" s="27" t="str">
        <x:v>Dyrektor</x:v>
      </x:c>
      <x:c r="C10" s="79" t="n">
        <x:v>0.3</x:v>
      </x:c>
      <x:c r="D10" s="51" t="n">
        <x:v>14000</x:v>
      </x:c>
      <x:c r="E10" s="79" t="n">
        <x:v>0</x:v>
      </x:c>
      <x:c r="F10" s="60"/>
      <x:c r="G10" s="49" t="n">
        <x:f>'01_ZALOZENIA'!$E$16</x:f>
        <x:v>0.2</x:v>
      </x:c>
      <x:c r="H10" s="51" t="n">
        <x:f>SUM(B31:M31)</x:f>
        <x:v>60480</x:v>
      </x:c>
      <x:c r="I10" s="51" t="n">
        <x:f>SUM(B20:M20)</x:f>
        <x:v>64713.60000000001</x:v>
      </x:c>
      <x:c r="J10" s="51" t="n">
        <x:f>IF(F10="",0,E10*D10*(1+G10)*(13-MONTH(F10)))</x:f>
        <x:v>0</x:v>
      </x:c>
      <x:c r="K10" s="210"/>
      <x:c r="L10" s="210"/>
      <x:c r="M10" s="210"/>
      <x:c r="N10" s="210"/>
    </x:row>
    <x:row r="11">
      <x:c r="A11" s="210"/>
      <x:c r="B11" s="210"/>
      <x:c r="C11" s="210"/>
      <x:c r="D11" s="210"/>
      <x:c r="E11" s="210"/>
      <x:c r="F11" s="210"/>
      <x:c r="G11" s="210"/>
      <x:c r="H11" s="210"/>
      <x:c r="I11" s="210"/>
      <x:c r="J11" s="210"/>
      <x:c r="K11" s="210"/>
      <x:c r="L11" s="210"/>
      <x:c r="M11" s="210"/>
      <x:c r="N11" s="210"/>
    </x:row>
    <x:row r="12">
      <x:c r="A12" s="210"/>
      <x:c r="B12" s="210"/>
      <x:c r="C12" s="210"/>
      <x:c r="D12" s="210"/>
      <x:c r="E12" s="210"/>
      <x:c r="F12" s="210"/>
      <x:c r="G12" s="210"/>
      <x:c r="H12" s="210"/>
      <x:c r="I12" s="210"/>
      <x:c r="J12" s="210"/>
      <x:c r="K12" s="210"/>
      <x:c r="L12" s="210"/>
      <x:c r="M12" s="210"/>
      <x:c r="N12" s="210"/>
    </x:row>
    <x:row r="13" ht="23" customHeight="1">
      <x:c r="A13" s="16" t="str">
        <x:v>Plan kosztów wynagrodzeń 2026</x:v>
      </x:c>
      <x:c r="B13" s="16" t="str">
        <x:v>Plan kosztów wynagrodzeń 2026</x:v>
      </x:c>
      <x:c r="C13" s="16" t="str">
        <x:v>Plan kosztów wynagrodzeń 2026</x:v>
      </x:c>
      <x:c r="D13" s="16" t="str">
        <x:v>Plan kosztów wynagrodzeń 2026</x:v>
      </x:c>
      <x:c r="E13" s="16" t="str">
        <x:v>Plan kosztów wynagrodzeń 2026</x:v>
      </x:c>
      <x:c r="F13" s="16" t="str">
        <x:v>Plan kosztów wynagrodzeń 2026</x:v>
      </x:c>
      <x:c r="G13" s="16" t="str">
        <x:v>Plan kosztów wynagrodzeń 2026</x:v>
      </x:c>
      <x:c r="H13" s="16" t="str">
        <x:v>Plan kosztów wynagrodzeń 2026</x:v>
      </x:c>
      <x:c r="I13" s="16" t="str">
        <x:v>Plan kosztów wynagrodzeń 2026</x:v>
      </x:c>
      <x:c r="J13" s="16" t="str">
        <x:v>Plan kosztów wynagrodzeń 2026</x:v>
      </x:c>
      <x:c r="K13" s="16" t="str">
        <x:v>Plan kosztów wynagrodzeń 2026</x:v>
      </x:c>
      <x:c r="L13" s="16" t="str">
        <x:v>Plan kosztów wynagrodzeń 2026</x:v>
      </x:c>
      <x:c r="M13" s="16" t="str">
        <x:v>Plan kosztów wynagrodzeń 2026</x:v>
      </x:c>
      <x:c r="N13" s="16" t="str">
        <x:v>Plan kosztów wynagrodzeń 2026</x:v>
      </x:c>
    </x:row>
    <x:row r="14" ht="32" customHeight="1">
      <x:c r="A14" s="21" t="str">
        <x:v>Funkcja</x:v>
      </x:c>
      <x:c r="B14" s="80" t="n">
        <x:v>46023</x:v>
      </x:c>
      <x:c r="C14" s="80" t="n">
        <x:v>46054</x:v>
      </x:c>
      <x:c r="D14" s="80" t="n">
        <x:v>46082</x:v>
      </x:c>
      <x:c r="E14" s="80" t="n">
        <x:v>46113</x:v>
      </x:c>
      <x:c r="F14" s="80" t="n">
        <x:v>46143</x:v>
      </x:c>
      <x:c r="G14" s="80" t="n">
        <x:v>46174</x:v>
      </x:c>
      <x:c r="H14" s="80" t="n">
        <x:v>46204</x:v>
      </x:c>
      <x:c r="I14" s="80" t="n">
        <x:v>46235</x:v>
      </x:c>
      <x:c r="J14" s="80" t="n">
        <x:v>46266</x:v>
      </x:c>
      <x:c r="K14" s="80" t="n">
        <x:v>46296</x:v>
      </x:c>
      <x:c r="L14" s="80" t="n">
        <x:v>46327</x:v>
      </x:c>
      <x:c r="M14" s="80" t="n">
        <x:v>46357</x:v>
      </x:c>
      <x:c r="N14" s="21" t="str">
        <x:v>Razem</x:v>
      </x:c>
    </x:row>
    <x:row r="15">
      <x:c r="A15" s="24" t="str">
        <x:f>B5</x:f>
        <x:v>Specjalista sprzedaży</x:v>
      </x:c>
      <x:c r="B15" s="53" t="n">
        <x:f>($C5+IF(AND($F5&lt;&gt;"",B$14&gt;=$F5),$E5,0))*$D5*(1+'01_ZALOZENIA'!$E$9)*(1+$G5)</x:f>
        <x:v>15408</x:v>
      </x:c>
      <x:c r="C15" s="53" t="n">
        <x:f>($C5+IF(AND($F5&lt;&gt;"",C$14&gt;=$F5),$E5,0))*$D5*(1+'01_ZALOZENIA'!$E$9)*(1+$G5)</x:f>
        <x:v>15408</x:v>
      </x:c>
      <x:c r="D15" s="53" t="n">
        <x:f>($C5+IF(AND($F5&lt;&gt;"",D$14&gt;=$F5),$E5,0))*$D5*(1+'01_ZALOZENIA'!$E$9)*(1+$G5)</x:f>
        <x:v>15408</x:v>
      </x:c>
      <x:c r="E15" s="53" t="n">
        <x:f>($C5+IF(AND($F5&lt;&gt;"",E$14&gt;=$F5),$E5,0))*$D5*(1+'01_ZALOZENIA'!$E$9)*(1+$G5)</x:f>
        <x:v>15408</x:v>
      </x:c>
      <x:c r="F15" s="53" t="n">
        <x:f>($C5+IF(AND($F5&lt;&gt;"",F$14&gt;=$F5),$E5,0))*$D5*(1+'01_ZALOZENIA'!$E$9)*(1+$G5)</x:f>
        <x:v>15408</x:v>
      </x:c>
      <x:c r="G15" s="53" t="n">
        <x:f>($C5+IF(AND($F5&lt;&gt;"",G$14&gt;=$F5),$E5,0))*$D5*(1+'01_ZALOZENIA'!$E$9)*(1+$G5)</x:f>
        <x:v>15408</x:v>
      </x:c>
      <x:c r="H15" s="53" t="n">
        <x:f>($C5+IF(AND($F5&lt;&gt;"",H$14&gt;=$F5),$E5,0))*$D5*(1+'01_ZALOZENIA'!$E$9)*(1+$G5)</x:f>
        <x:v>17873.280000000002</x:v>
      </x:c>
      <x:c r="I15" s="53" t="n">
        <x:f>($C5+IF(AND($F5&lt;&gt;"",I$14&gt;=$F5),$E5,0))*$D5*(1+'01_ZALOZENIA'!$E$9)*(1+$G5)</x:f>
        <x:v>17873.280000000002</x:v>
      </x:c>
      <x:c r="J15" s="53" t="n">
        <x:f>($C5+IF(AND($F5&lt;&gt;"",J$14&gt;=$F5),$E5,0))*$D5*(1+'01_ZALOZENIA'!$E$9)*(1+$G5)</x:f>
        <x:v>17873.280000000002</x:v>
      </x:c>
      <x:c r="K15" s="53" t="n">
        <x:f>($C5+IF(AND($F5&lt;&gt;"",K$14&gt;=$F5),$E5,0))*$D5*(1+'01_ZALOZENIA'!$E$9)*(1+$G5)</x:f>
        <x:v>17873.280000000002</x:v>
      </x:c>
      <x:c r="L15" s="53" t="n">
        <x:f>($C5+IF(AND($F5&lt;&gt;"",L$14&gt;=$F5),$E5,0))*$D5*(1+'01_ZALOZENIA'!$E$9)*(1+$G5)</x:f>
        <x:v>17873.280000000002</x:v>
      </x:c>
      <x:c r="M15" s="53" t="n">
        <x:f>($C5+IF(AND($F5&lt;&gt;"",M$14&gt;=$F5),$E5,0))*$D5*(1+'01_ZALOZENIA'!$E$9)*(1+$G5)</x:f>
        <x:v>17873.280000000002</x:v>
      </x:c>
      <x:c r="N15" s="53" t="n">
        <x:f>SUM(B15:M15)</x:f>
        <x:v>199687.68</x:v>
      </x:c>
    </x:row>
    <x:row r="16">
      <x:c r="A16" s="27" t="str">
        <x:f>B6</x:f>
        <x:v>Marketing</x:v>
      </x:c>
      <x:c r="B16" s="51" t="n">
        <x:f>($C6+IF(AND($F6&lt;&gt;"",B$14&gt;=$F6),$E6,0))*$D6*(1+'01_ZALOZENIA'!$E$9)*(1+$G6)</x:f>
        <x:v>6163.2</x:v>
      </x:c>
      <x:c r="C16" s="51" t="n">
        <x:f>($C6+IF(AND($F6&lt;&gt;"",C$14&gt;=$F6),$E6,0))*$D6*(1+'01_ZALOZENIA'!$E$9)*(1+$G6)</x:f>
        <x:v>6163.2</x:v>
      </x:c>
      <x:c r="D16" s="51" t="n">
        <x:f>($C6+IF(AND($F6&lt;&gt;"",D$14&gt;=$F6),$E6,0))*$D6*(1+'01_ZALOZENIA'!$E$9)*(1+$G6)</x:f>
        <x:v>6163.2</x:v>
      </x:c>
      <x:c r="E16" s="51" t="n">
        <x:f>($C6+IF(AND($F6&lt;&gt;"",E$14&gt;=$F6),$E6,0))*$D6*(1+'01_ZALOZENIA'!$E$9)*(1+$G6)</x:f>
        <x:v>6163.2</x:v>
      </x:c>
      <x:c r="F16" s="51" t="n">
        <x:f>($C6+IF(AND($F6&lt;&gt;"",F$14&gt;=$F6),$E6,0))*$D6*(1+'01_ZALOZENIA'!$E$9)*(1+$G6)</x:f>
        <x:v>6163.2</x:v>
      </x:c>
      <x:c r="G16" s="51" t="n">
        <x:f>($C6+IF(AND($F6&lt;&gt;"",G$14&gt;=$F6),$E6,0))*$D6*(1+'01_ZALOZENIA'!$E$9)*(1+$G6)</x:f>
        <x:v>6163.2</x:v>
      </x:c>
      <x:c r="H16" s="51" t="n">
        <x:f>($C6+IF(AND($F6&lt;&gt;"",H$14&gt;=$F6),$E6,0))*$D6*(1+'01_ZALOZENIA'!$E$9)*(1+$G6)</x:f>
        <x:v>6163.2</x:v>
      </x:c>
      <x:c r="I16" s="51" t="n">
        <x:f>($C6+IF(AND($F6&lt;&gt;"",I$14&gt;=$F6),$E6,0))*$D6*(1+'01_ZALOZENIA'!$E$9)*(1+$G6)</x:f>
        <x:v>6163.2</x:v>
      </x:c>
      <x:c r="J16" s="51" t="n">
        <x:f>($C6+IF(AND($F6&lt;&gt;"",J$14&gt;=$F6),$E6,0))*$D6*(1+'01_ZALOZENIA'!$E$9)*(1+$G6)</x:f>
        <x:v>7704</x:v>
      </x:c>
      <x:c r="K16" s="51" t="n">
        <x:f>($C6+IF(AND($F6&lt;&gt;"",K$14&gt;=$F6),$E6,0))*$D6*(1+'01_ZALOZENIA'!$E$9)*(1+$G6)</x:f>
        <x:v>7704</x:v>
      </x:c>
      <x:c r="L16" s="51" t="n">
        <x:f>($C6+IF(AND($F6&lt;&gt;"",L$14&gt;=$F6),$E6,0))*$D6*(1+'01_ZALOZENIA'!$E$9)*(1+$G6)</x:f>
        <x:v>7704</x:v>
      </x:c>
      <x:c r="M16" s="51" t="n">
        <x:f>($C6+IF(AND($F6&lt;&gt;"",M$14&gt;=$F6),$E6,0))*$D6*(1+'01_ZALOZENIA'!$E$9)*(1+$G6)</x:f>
        <x:v>7704</x:v>
      </x:c>
      <x:c r="N16" s="51" t="n">
        <x:f>SUM(B16:M16)</x:f>
        <x:v>80121.59999999999</x:v>
      </x:c>
    </x:row>
    <x:row r="17">
      <x:c r="A17" s="24" t="str">
        <x:f>B7</x:f>
        <x:v>Logistyka</x:v>
      </x:c>
      <x:c r="B17" s="53" t="n">
        <x:f>($C7+IF(AND($F7&lt;&gt;"",B$14&gt;=$F7),$E7,0))*$D7*(1+'01_ZALOZENIA'!$E$9)*(1+$G7)</x:f>
        <x:v>9244.8</x:v>
      </x:c>
      <x:c r="C17" s="53" t="n">
        <x:f>($C7+IF(AND($F7&lt;&gt;"",C$14&gt;=$F7),$E7,0))*$D7*(1+'01_ZALOZENIA'!$E$9)*(1+$G7)</x:f>
        <x:v>9244.8</x:v>
      </x:c>
      <x:c r="D17" s="53" t="n">
        <x:f>($C7+IF(AND($F7&lt;&gt;"",D$14&gt;=$F7),$E7,0))*$D7*(1+'01_ZALOZENIA'!$E$9)*(1+$G7)</x:f>
        <x:v>9244.8</x:v>
      </x:c>
      <x:c r="E17" s="53" t="n">
        <x:f>($C7+IF(AND($F7&lt;&gt;"",E$14&gt;=$F7),$E7,0))*$D7*(1+'01_ZALOZENIA'!$E$9)*(1+$G7)</x:f>
        <x:v>9244.8</x:v>
      </x:c>
      <x:c r="F17" s="53" t="n">
        <x:f>($C7+IF(AND($F7&lt;&gt;"",F$14&gt;=$F7),$E7,0))*$D7*(1+'01_ZALOZENIA'!$E$9)*(1+$G7)</x:f>
        <x:v>9244.8</x:v>
      </x:c>
      <x:c r="G17" s="53" t="n">
        <x:f>($C7+IF(AND($F7&lt;&gt;"",G$14&gt;=$F7),$E7,0))*$D7*(1+'01_ZALOZENIA'!$E$9)*(1+$G7)</x:f>
        <x:v>9244.8</x:v>
      </x:c>
      <x:c r="H17" s="53" t="n">
        <x:f>($C7+IF(AND($F7&lt;&gt;"",H$14&gt;=$F7),$E7,0))*$D7*(1+'01_ZALOZENIA'!$E$9)*(1+$G7)</x:f>
        <x:v>9244.8</x:v>
      </x:c>
      <x:c r="I17" s="53" t="n">
        <x:f>($C7+IF(AND($F7&lt;&gt;"",I$14&gt;=$F7),$E7,0))*$D7*(1+'01_ZALOZENIA'!$E$9)*(1+$G7)</x:f>
        <x:v>9244.8</x:v>
      </x:c>
      <x:c r="J17" s="53" t="n">
        <x:f>($C7+IF(AND($F7&lt;&gt;"",J$14&gt;=$F7),$E7,0))*$D7*(1+'01_ZALOZENIA'!$E$9)*(1+$G7)</x:f>
        <x:v>9244.8</x:v>
      </x:c>
      <x:c r="K17" s="53" t="n">
        <x:f>($C7+IF(AND($F7&lt;&gt;"",K$14&gt;=$F7),$E7,0))*$D7*(1+'01_ZALOZENIA'!$E$9)*(1+$G7)</x:f>
        <x:v>11093.76</x:v>
      </x:c>
      <x:c r="L17" s="53" t="n">
        <x:f>($C7+IF(AND($F7&lt;&gt;"",L$14&gt;=$F7),$E7,0))*$D7*(1+'01_ZALOZENIA'!$E$9)*(1+$G7)</x:f>
        <x:v>11093.76</x:v>
      </x:c>
      <x:c r="M17" s="53" t="n">
        <x:f>($C7+IF(AND($F7&lt;&gt;"",M$14&gt;=$F7),$E7,0))*$D7*(1+'01_ZALOZENIA'!$E$9)*(1+$G7)</x:f>
        <x:v>11093.76</x:v>
      </x:c>
      <x:c r="N17" s="53" t="n">
        <x:f>SUM(B17:M17)</x:f>
        <x:v>116484.48</x:v>
      </x:c>
    </x:row>
    <x:row r="18">
      <x:c r="A18" s="27" t="str">
        <x:f>B8</x:f>
        <x:v>Administracja</x:v>
      </x:c>
      <x:c r="B18" s="51" t="n">
        <x:f>($C8+IF(AND($F8&lt;&gt;"",B$14&gt;=$F8),$E8,0))*$D8*(1+'01_ZALOZENIA'!$E$9)*(1+$G8)</x:f>
        <x:v>6163.2</x:v>
      </x:c>
      <x:c r="C18" s="51" t="n">
        <x:f>($C8+IF(AND($F8&lt;&gt;"",C$14&gt;=$F8),$E8,0))*$D8*(1+'01_ZALOZENIA'!$E$9)*(1+$G8)</x:f>
        <x:v>6163.2</x:v>
      </x:c>
      <x:c r="D18" s="51" t="n">
        <x:f>($C8+IF(AND($F8&lt;&gt;"",D$14&gt;=$F8),$E8,0))*$D8*(1+'01_ZALOZENIA'!$E$9)*(1+$G8)</x:f>
        <x:v>6163.2</x:v>
      </x:c>
      <x:c r="E18" s="51" t="n">
        <x:f>($C8+IF(AND($F8&lt;&gt;"",E$14&gt;=$F8),$E8,0))*$D8*(1+'01_ZALOZENIA'!$E$9)*(1+$G8)</x:f>
        <x:v>6163.2</x:v>
      </x:c>
      <x:c r="F18" s="51" t="n">
        <x:f>($C8+IF(AND($F8&lt;&gt;"",F$14&gt;=$F8),$E8,0))*$D8*(1+'01_ZALOZENIA'!$E$9)*(1+$G8)</x:f>
        <x:v>6163.2</x:v>
      </x:c>
      <x:c r="G18" s="51" t="n">
        <x:f>($C8+IF(AND($F8&lt;&gt;"",G$14&gt;=$F8),$E8,0))*$D8*(1+'01_ZALOZENIA'!$E$9)*(1+$G8)</x:f>
        <x:v>6163.2</x:v>
      </x:c>
      <x:c r="H18" s="51" t="n">
        <x:f>($C8+IF(AND($F8&lt;&gt;"",H$14&gt;=$F8),$E8,0))*$D8*(1+'01_ZALOZENIA'!$E$9)*(1+$G8)</x:f>
        <x:v>6163.2</x:v>
      </x:c>
      <x:c r="I18" s="51" t="n">
        <x:f>($C8+IF(AND($F8&lt;&gt;"",I$14&gt;=$F8),$E8,0))*$D8*(1+'01_ZALOZENIA'!$E$9)*(1+$G8)</x:f>
        <x:v>6163.2</x:v>
      </x:c>
      <x:c r="J18" s="51" t="n">
        <x:f>($C8+IF(AND($F8&lt;&gt;"",J$14&gt;=$F8),$E8,0))*$D8*(1+'01_ZALOZENIA'!$E$9)*(1+$G8)</x:f>
        <x:v>6163.2</x:v>
      </x:c>
      <x:c r="K18" s="51" t="n">
        <x:f>($C8+IF(AND($F8&lt;&gt;"",K$14&gt;=$F8),$E8,0))*$D8*(1+'01_ZALOZENIA'!$E$9)*(1+$G8)</x:f>
        <x:v>6163.2</x:v>
      </x:c>
      <x:c r="L18" s="51" t="n">
        <x:f>($C8+IF(AND($F8&lt;&gt;"",L$14&gt;=$F8),$E8,0))*$D8*(1+'01_ZALOZENIA'!$E$9)*(1+$G8)</x:f>
        <x:v>6163.2</x:v>
      </x:c>
      <x:c r="M18" s="51" t="n">
        <x:f>($C8+IF(AND($F8&lt;&gt;"",M$14&gt;=$F8),$E8,0))*$D8*(1+'01_ZALOZENIA'!$E$9)*(1+$G8)</x:f>
        <x:v>6163.2</x:v>
      </x:c>
      <x:c r="N18" s="51" t="n">
        <x:f>SUM(B18:M18)</x:f>
        <x:v>73958.39999999998</x:v>
      </x:c>
    </x:row>
    <x:row r="19">
      <x:c r="A19" s="24" t="str">
        <x:f>B9</x:f>
        <x:v>IT</x:v>
      </x:c>
      <x:c r="B19" s="53" t="n">
        <x:f>($C9+IF(AND($F9&lt;&gt;"",B$14&gt;=$F9),$E9,0))*$D9*(1+'01_ZALOZENIA'!$E$9)*(1+$G9)</x:f>
        <x:v>4622.4</x:v>
      </x:c>
      <x:c r="C19" s="53" t="n">
        <x:f>($C9+IF(AND($F9&lt;&gt;"",C$14&gt;=$F9),$E9,0))*$D9*(1+'01_ZALOZENIA'!$E$9)*(1+$G9)</x:f>
        <x:v>4622.4</x:v>
      </x:c>
      <x:c r="D19" s="53" t="n">
        <x:f>($C9+IF(AND($F9&lt;&gt;"",D$14&gt;=$F9),$E9,0))*$D9*(1+'01_ZALOZENIA'!$E$9)*(1+$G9)</x:f>
        <x:v>4622.4</x:v>
      </x:c>
      <x:c r="E19" s="53" t="n">
        <x:f>($C9+IF(AND($F9&lt;&gt;"",E$14&gt;=$F9),$E9,0))*$D9*(1+'01_ZALOZENIA'!$E$9)*(1+$G9)</x:f>
        <x:v>4622.4</x:v>
      </x:c>
      <x:c r="F19" s="53" t="n">
        <x:f>($C9+IF(AND($F9&lt;&gt;"",F$14&gt;=$F9),$E9,0))*$D9*(1+'01_ZALOZENIA'!$E$9)*(1+$G9)</x:f>
        <x:v>4622.4</x:v>
      </x:c>
      <x:c r="G19" s="53" t="n">
        <x:f>($C9+IF(AND($F9&lt;&gt;"",G$14&gt;=$F9),$E9,0))*$D9*(1+'01_ZALOZENIA'!$E$9)*(1+$G9)</x:f>
        <x:v>4622.4</x:v>
      </x:c>
      <x:c r="H19" s="53" t="n">
        <x:f>($C9+IF(AND($F9&lt;&gt;"",H$14&gt;=$F9),$E9,0))*$D9*(1+'01_ZALOZENIA'!$E$9)*(1+$G9)</x:f>
        <x:v>4622.4</x:v>
      </x:c>
      <x:c r="I19" s="53" t="n">
        <x:f>($C9+IF(AND($F9&lt;&gt;"",I$14&gt;=$F9),$E9,0))*$D9*(1+'01_ZALOZENIA'!$E$9)*(1+$G9)</x:f>
        <x:v>4622.4</x:v>
      </x:c>
      <x:c r="J19" s="53" t="n">
        <x:f>($C9+IF(AND($F9&lt;&gt;"",J$14&gt;=$F9),$E9,0))*$D9*(1+'01_ZALOZENIA'!$E$9)*(1+$G9)</x:f>
        <x:v>4622.4</x:v>
      </x:c>
      <x:c r="K19" s="53" t="n">
        <x:f>($C9+IF(AND($F9&lt;&gt;"",K$14&gt;=$F9),$E9,0))*$D9*(1+'01_ZALOZENIA'!$E$9)*(1+$G9)</x:f>
        <x:v>4622.4</x:v>
      </x:c>
      <x:c r="L19" s="53" t="n">
        <x:f>($C9+IF(AND($F9&lt;&gt;"",L$14&gt;=$F9),$E9,0))*$D9*(1+'01_ZALOZENIA'!$E$9)*(1+$G9)</x:f>
        <x:v>4622.4</x:v>
      </x:c>
      <x:c r="M19" s="53" t="n">
        <x:f>($C9+IF(AND($F9&lt;&gt;"",M$14&gt;=$F9),$E9,0))*$D9*(1+'01_ZALOZENIA'!$E$9)*(1+$G9)</x:f>
        <x:v>4622.4</x:v>
      </x:c>
      <x:c r="N19" s="53" t="n">
        <x:f>SUM(B19:M19)</x:f>
        <x:v>55468.80000000001</x:v>
      </x:c>
    </x:row>
    <x:row r="20">
      <x:c r="A20" s="27" t="str">
        <x:f>B10</x:f>
        <x:v>Dyrektor</x:v>
      </x:c>
      <x:c r="B20" s="51" t="n">
        <x:f>($C10+IF(AND($F10&lt;&gt;"",B$14&gt;=$F10),$E10,0))*$D10*(1+'01_ZALOZENIA'!$E$9)*(1+$G10)</x:f>
        <x:v>5392.8</x:v>
      </x:c>
      <x:c r="C20" s="51" t="n">
        <x:f>($C10+IF(AND($F10&lt;&gt;"",C$14&gt;=$F10),$E10,0))*$D10*(1+'01_ZALOZENIA'!$E$9)*(1+$G10)</x:f>
        <x:v>5392.8</x:v>
      </x:c>
      <x:c r="D20" s="51" t="n">
        <x:f>($C10+IF(AND($F10&lt;&gt;"",D$14&gt;=$F10),$E10,0))*$D10*(1+'01_ZALOZENIA'!$E$9)*(1+$G10)</x:f>
        <x:v>5392.8</x:v>
      </x:c>
      <x:c r="E20" s="51" t="n">
        <x:f>($C10+IF(AND($F10&lt;&gt;"",E$14&gt;=$F10),$E10,0))*$D10*(1+'01_ZALOZENIA'!$E$9)*(1+$G10)</x:f>
        <x:v>5392.8</x:v>
      </x:c>
      <x:c r="F20" s="51" t="n">
        <x:f>($C10+IF(AND($F10&lt;&gt;"",F$14&gt;=$F10),$E10,0))*$D10*(1+'01_ZALOZENIA'!$E$9)*(1+$G10)</x:f>
        <x:v>5392.8</x:v>
      </x:c>
      <x:c r="G20" s="51" t="n">
        <x:f>($C10+IF(AND($F10&lt;&gt;"",G$14&gt;=$F10),$E10,0))*$D10*(1+'01_ZALOZENIA'!$E$9)*(1+$G10)</x:f>
        <x:v>5392.8</x:v>
      </x:c>
      <x:c r="H20" s="51" t="n">
        <x:f>($C10+IF(AND($F10&lt;&gt;"",H$14&gt;=$F10),$E10,0))*$D10*(1+'01_ZALOZENIA'!$E$9)*(1+$G10)</x:f>
        <x:v>5392.8</x:v>
      </x:c>
      <x:c r="I20" s="51" t="n">
        <x:f>($C10+IF(AND($F10&lt;&gt;"",I$14&gt;=$F10),$E10,0))*$D10*(1+'01_ZALOZENIA'!$E$9)*(1+$G10)</x:f>
        <x:v>5392.8</x:v>
      </x:c>
      <x:c r="J20" s="51" t="n">
        <x:f>($C10+IF(AND($F10&lt;&gt;"",J$14&gt;=$F10),$E10,0))*$D10*(1+'01_ZALOZENIA'!$E$9)*(1+$G10)</x:f>
        <x:v>5392.8</x:v>
      </x:c>
      <x:c r="K20" s="51" t="n">
        <x:f>($C10+IF(AND($F10&lt;&gt;"",K$14&gt;=$F10),$E10,0))*$D10*(1+'01_ZALOZENIA'!$E$9)*(1+$G10)</x:f>
        <x:v>5392.8</x:v>
      </x:c>
      <x:c r="L20" s="51" t="n">
        <x:f>($C10+IF(AND($F10&lt;&gt;"",L$14&gt;=$F10),$E10,0))*$D10*(1+'01_ZALOZENIA'!$E$9)*(1+$G10)</x:f>
        <x:v>5392.8</x:v>
      </x:c>
      <x:c r="M20" s="51" t="n">
        <x:f>($C10+IF(AND($F10&lt;&gt;"",M$14&gt;=$F10),$E10,0))*$D10*(1+'01_ZALOZENIA'!$E$9)*(1+$G10)</x:f>
        <x:v>5392.8</x:v>
      </x:c>
      <x:c r="N20" s="51" t="n">
        <x:f>SUM(B20:M20)</x:f>
        <x:v>64713.60000000001</x:v>
      </x:c>
    </x:row>
    <x:row r="21">
      <x:c r="A21" s="219" t="str">
        <x:v>RAZEM</x:v>
      </x:c>
      <x:c r="B21" s="220" t="n">
        <x:f>SUM(B15:B20)</x:f>
        <x:v>46994.4</x:v>
      </x:c>
      <x:c r="C21" s="220" t="n">
        <x:f>SUM(C15:C20)</x:f>
        <x:v>46994.4</x:v>
      </x:c>
      <x:c r="D21" s="220" t="n">
        <x:f>SUM(D15:D20)</x:f>
        <x:v>46994.4</x:v>
      </x:c>
      <x:c r="E21" s="220" t="n">
        <x:f>SUM(E15:E20)</x:f>
        <x:v>46994.4</x:v>
      </x:c>
      <x:c r="F21" s="220" t="n">
        <x:f>SUM(F15:F20)</x:f>
        <x:v>46994.4</x:v>
      </x:c>
      <x:c r="G21" s="220" t="n">
        <x:f>SUM(G15:G20)</x:f>
        <x:v>46994.4</x:v>
      </x:c>
      <x:c r="H21" s="220" t="n">
        <x:f>SUM(H15:H20)</x:f>
        <x:v>49459.68</x:v>
      </x:c>
      <x:c r="I21" s="220" t="n">
        <x:f>SUM(I15:I20)</x:f>
        <x:v>49459.68</x:v>
      </x:c>
      <x:c r="J21" s="220" t="n">
        <x:f>SUM(J15:J20)</x:f>
        <x:v>51000.48</x:v>
      </x:c>
      <x:c r="K21" s="220" t="n">
        <x:f>SUM(K15:K20)</x:f>
        <x:v>52849.44</x:v>
      </x:c>
      <x:c r="L21" s="220" t="n">
        <x:f>SUM(L15:L20)</x:f>
        <x:v>52849.44</x:v>
      </x:c>
      <x:c r="M21" s="220" t="n">
        <x:f>SUM(M15:M20)</x:f>
        <x:v>52849.44</x:v>
      </x:c>
      <x:c r="N21" s="220" t="n">
        <x:f>SUM(N15:N20)</x:f>
        <x:v>590434.5599999999</x:v>
      </x:c>
    </x:row>
    <x:row r="22">
      <x:c r="A22" s="210"/>
      <x:c r="B22" s="210"/>
      <x:c r="C22" s="210"/>
      <x:c r="D22" s="210"/>
      <x:c r="E22" s="210"/>
      <x:c r="F22" s="210"/>
      <x:c r="G22" s="210"/>
      <x:c r="H22" s="210"/>
      <x:c r="I22" s="210"/>
      <x:c r="J22" s="210"/>
      <x:c r="K22" s="210"/>
      <x:c r="L22" s="210"/>
      <x:c r="M22" s="210"/>
      <x:c r="N22" s="210"/>
    </x:row>
    <x:row r="23">
      <x:c r="A23" s="210"/>
      <x:c r="B23" s="210"/>
      <x:c r="C23" s="210"/>
      <x:c r="D23" s="210"/>
      <x:c r="E23" s="210"/>
      <x:c r="F23" s="210"/>
      <x:c r="G23" s="210"/>
      <x:c r="H23" s="210"/>
      <x:c r="I23" s="210"/>
      <x:c r="J23" s="210"/>
      <x:c r="K23" s="210"/>
      <x:c r="L23" s="210"/>
      <x:c r="M23" s="210"/>
      <x:c r="N23" s="210"/>
    </x:row>
    <x:row r="24" ht="23" customHeight="1">
      <x:c r="A24" s="16" t="str">
        <x:v>Koszt wynagrodzeń 2025 - baza wykonania modelowego</x:v>
      </x:c>
      <x:c r="B24" s="16" t="str">
        <x:v>Koszt wynagrodzeń 2025 - baza wykonania modelowego</x:v>
      </x:c>
      <x:c r="C24" s="16" t="str">
        <x:v>Koszt wynagrodzeń 2025 - baza wykonania modelowego</x:v>
      </x:c>
      <x:c r="D24" s="16" t="str">
        <x:v>Koszt wynagrodzeń 2025 - baza wykonania modelowego</x:v>
      </x:c>
      <x:c r="E24" s="16" t="str">
        <x:v>Koszt wynagrodzeń 2025 - baza wykonania modelowego</x:v>
      </x:c>
      <x:c r="F24" s="16" t="str">
        <x:v>Koszt wynagrodzeń 2025 - baza wykonania modelowego</x:v>
      </x:c>
      <x:c r="G24" s="16" t="str">
        <x:v>Koszt wynagrodzeń 2025 - baza wykonania modelowego</x:v>
      </x:c>
      <x:c r="H24" s="16" t="str">
        <x:v>Koszt wynagrodzeń 2025 - baza wykonania modelowego</x:v>
      </x:c>
      <x:c r="I24" s="16" t="str">
        <x:v>Koszt wynagrodzeń 2025 - baza wykonania modelowego</x:v>
      </x:c>
      <x:c r="J24" s="16" t="str">
        <x:v>Koszt wynagrodzeń 2025 - baza wykonania modelowego</x:v>
      </x:c>
      <x:c r="K24" s="16" t="str">
        <x:v>Koszt wynagrodzeń 2025 - baza wykonania modelowego</x:v>
      </x:c>
      <x:c r="L24" s="16" t="str">
        <x:v>Koszt wynagrodzeń 2025 - baza wykonania modelowego</x:v>
      </x:c>
      <x:c r="M24" s="16" t="str">
        <x:v>Koszt wynagrodzeń 2025 - baza wykonania modelowego</x:v>
      </x:c>
      <x:c r="N24" s="16" t="str">
        <x:v>Koszt wynagrodzeń 2025 - baza wykonania modelowego</x:v>
      </x:c>
    </x:row>
    <x:row r="25" ht="32" customHeight="1">
      <x:c r="A25" s="21" t="str">
        <x:v>Funkcja</x:v>
      </x:c>
      <x:c r="B25" s="80" t="n">
        <x:v>45658</x:v>
      </x:c>
      <x:c r="C25" s="80" t="n">
        <x:v>45689</x:v>
      </x:c>
      <x:c r="D25" s="80" t="n">
        <x:v>45717</x:v>
      </x:c>
      <x:c r="E25" s="80" t="n">
        <x:v>45748</x:v>
      </x:c>
      <x:c r="F25" s="80" t="n">
        <x:v>45778</x:v>
      </x:c>
      <x:c r="G25" s="80" t="n">
        <x:v>45809</x:v>
      </x:c>
      <x:c r="H25" s="80" t="n">
        <x:v>45839</x:v>
      </x:c>
      <x:c r="I25" s="80" t="n">
        <x:v>45870</x:v>
      </x:c>
      <x:c r="J25" s="80" t="n">
        <x:v>45901</x:v>
      </x:c>
      <x:c r="K25" s="80" t="n">
        <x:v>45931</x:v>
      </x:c>
      <x:c r="L25" s="80" t="n">
        <x:v>45962</x:v>
      </x:c>
      <x:c r="M25" s="80" t="n">
        <x:v>45992</x:v>
      </x:c>
      <x:c r="N25" s="21" t="str">
        <x:v>Razem</x:v>
      </x:c>
    </x:row>
    <x:row r="26">
      <x:c r="A26" s="24" t="str">
        <x:f>B5</x:f>
        <x:v>Specjalista sprzedaży</x:v>
      </x:c>
      <x:c r="B26" s="53" t="n">
        <x:f>$C5*$D5*(1+$G5)</x:f>
        <x:v>14400</x:v>
      </x:c>
      <x:c r="C26" s="53" t="n">
        <x:f>$C5*$D5*(1+$G5)</x:f>
        <x:v>14400</x:v>
      </x:c>
      <x:c r="D26" s="53" t="n">
        <x:f>$C5*$D5*(1+$G5)</x:f>
        <x:v>14400</x:v>
      </x:c>
      <x:c r="E26" s="53" t="n">
        <x:f>$C5*$D5*(1+$G5)</x:f>
        <x:v>14400</x:v>
      </x:c>
      <x:c r="F26" s="53" t="n">
        <x:f>$C5*$D5*(1+$G5)</x:f>
        <x:v>14400</x:v>
      </x:c>
      <x:c r="G26" s="53" t="n">
        <x:f>$C5*$D5*(1+$G5)</x:f>
        <x:v>14400</x:v>
      </x:c>
      <x:c r="H26" s="53" t="n">
        <x:f>$C5*$D5*(1+$G5)</x:f>
        <x:v>14400</x:v>
      </x:c>
      <x:c r="I26" s="53" t="n">
        <x:f>$C5*$D5*(1+$G5)</x:f>
        <x:v>14400</x:v>
      </x:c>
      <x:c r="J26" s="53" t="n">
        <x:f>$C5*$D5*(1+$G5)</x:f>
        <x:v>14400</x:v>
      </x:c>
      <x:c r="K26" s="53" t="n">
        <x:f>$C5*$D5*(1+$G5)</x:f>
        <x:v>14400</x:v>
      </x:c>
      <x:c r="L26" s="53" t="n">
        <x:f>$C5*$D5*(1+$G5)</x:f>
        <x:v>14400</x:v>
      </x:c>
      <x:c r="M26" s="53" t="n">
        <x:f>$C5*$D5*(1+$G5)</x:f>
        <x:v>14400</x:v>
      </x:c>
      <x:c r="N26" s="53" t="n">
        <x:f>SUM(B26:M26)</x:f>
        <x:v>172800</x:v>
      </x:c>
    </x:row>
    <x:row r="27">
      <x:c r="A27" s="27" t="str">
        <x:f>B6</x:f>
        <x:v>Marketing</x:v>
      </x:c>
      <x:c r="B27" s="51" t="n">
        <x:f>$C6*$D6*(1+$G6)</x:f>
        <x:v>5760</x:v>
      </x:c>
      <x:c r="C27" s="51" t="n">
        <x:f>$C6*$D6*(1+$G6)</x:f>
        <x:v>5760</x:v>
      </x:c>
      <x:c r="D27" s="51" t="n">
        <x:f>$C6*$D6*(1+$G6)</x:f>
        <x:v>5760</x:v>
      </x:c>
      <x:c r="E27" s="51" t="n">
        <x:f>$C6*$D6*(1+$G6)</x:f>
        <x:v>5760</x:v>
      </x:c>
      <x:c r="F27" s="51" t="n">
        <x:f>$C6*$D6*(1+$G6)</x:f>
        <x:v>5760</x:v>
      </x:c>
      <x:c r="G27" s="51" t="n">
        <x:f>$C6*$D6*(1+$G6)</x:f>
        <x:v>5760</x:v>
      </x:c>
      <x:c r="H27" s="51" t="n">
        <x:f>$C6*$D6*(1+$G6)</x:f>
        <x:v>5760</x:v>
      </x:c>
      <x:c r="I27" s="51" t="n">
        <x:f>$C6*$D6*(1+$G6)</x:f>
        <x:v>5760</x:v>
      </x:c>
      <x:c r="J27" s="51" t="n">
        <x:f>$C6*$D6*(1+$G6)</x:f>
        <x:v>5760</x:v>
      </x:c>
      <x:c r="K27" s="51" t="n">
        <x:f>$C6*$D6*(1+$G6)</x:f>
        <x:v>5760</x:v>
      </x:c>
      <x:c r="L27" s="51" t="n">
        <x:f>$C6*$D6*(1+$G6)</x:f>
        <x:v>5760</x:v>
      </x:c>
      <x:c r="M27" s="51" t="n">
        <x:f>$C6*$D6*(1+$G6)</x:f>
        <x:v>5760</x:v>
      </x:c>
      <x:c r="N27" s="51" t="n">
        <x:f>SUM(B27:M27)</x:f>
        <x:v>69120</x:v>
      </x:c>
    </x:row>
    <x:row r="28">
      <x:c r="A28" s="24" t="str">
        <x:f>B7</x:f>
        <x:v>Logistyka</x:v>
      </x:c>
      <x:c r="B28" s="53" t="n">
        <x:f>$C7*$D7*(1+$G7)</x:f>
        <x:v>8640</x:v>
      </x:c>
      <x:c r="C28" s="53" t="n">
        <x:f>$C7*$D7*(1+$G7)</x:f>
        <x:v>8640</x:v>
      </x:c>
      <x:c r="D28" s="53" t="n">
        <x:f>$C7*$D7*(1+$G7)</x:f>
        <x:v>8640</x:v>
      </x:c>
      <x:c r="E28" s="53" t="n">
        <x:f>$C7*$D7*(1+$G7)</x:f>
        <x:v>8640</x:v>
      </x:c>
      <x:c r="F28" s="53" t="n">
        <x:f>$C7*$D7*(1+$G7)</x:f>
        <x:v>8640</x:v>
      </x:c>
      <x:c r="G28" s="53" t="n">
        <x:f>$C7*$D7*(1+$G7)</x:f>
        <x:v>8640</x:v>
      </x:c>
      <x:c r="H28" s="53" t="n">
        <x:f>$C7*$D7*(1+$G7)</x:f>
        <x:v>8640</x:v>
      </x:c>
      <x:c r="I28" s="53" t="n">
        <x:f>$C7*$D7*(1+$G7)</x:f>
        <x:v>8640</x:v>
      </x:c>
      <x:c r="J28" s="53" t="n">
        <x:f>$C7*$D7*(1+$G7)</x:f>
        <x:v>8640</x:v>
      </x:c>
      <x:c r="K28" s="53" t="n">
        <x:f>$C7*$D7*(1+$G7)</x:f>
        <x:v>8640</x:v>
      </x:c>
      <x:c r="L28" s="53" t="n">
        <x:f>$C7*$D7*(1+$G7)</x:f>
        <x:v>8640</x:v>
      </x:c>
      <x:c r="M28" s="53" t="n">
        <x:f>$C7*$D7*(1+$G7)</x:f>
        <x:v>8640</x:v>
      </x:c>
      <x:c r="N28" s="53" t="n">
        <x:f>SUM(B28:M28)</x:f>
        <x:v>103680</x:v>
      </x:c>
    </x:row>
    <x:row r="29">
      <x:c r="A29" s="27" t="str">
        <x:f>B8</x:f>
        <x:v>Administracja</x:v>
      </x:c>
      <x:c r="B29" s="51" t="n">
        <x:f>$C8*$D8*(1+$G8)</x:f>
        <x:v>5760</x:v>
      </x:c>
      <x:c r="C29" s="51" t="n">
        <x:f>$C8*$D8*(1+$G8)</x:f>
        <x:v>5760</x:v>
      </x:c>
      <x:c r="D29" s="51" t="n">
        <x:f>$C8*$D8*(1+$G8)</x:f>
        <x:v>5760</x:v>
      </x:c>
      <x:c r="E29" s="51" t="n">
        <x:f>$C8*$D8*(1+$G8)</x:f>
        <x:v>5760</x:v>
      </x:c>
      <x:c r="F29" s="51" t="n">
        <x:f>$C8*$D8*(1+$G8)</x:f>
        <x:v>5760</x:v>
      </x:c>
      <x:c r="G29" s="51" t="n">
        <x:f>$C8*$D8*(1+$G8)</x:f>
        <x:v>5760</x:v>
      </x:c>
      <x:c r="H29" s="51" t="n">
        <x:f>$C8*$D8*(1+$G8)</x:f>
        <x:v>5760</x:v>
      </x:c>
      <x:c r="I29" s="51" t="n">
        <x:f>$C8*$D8*(1+$G8)</x:f>
        <x:v>5760</x:v>
      </x:c>
      <x:c r="J29" s="51" t="n">
        <x:f>$C8*$D8*(1+$G8)</x:f>
        <x:v>5760</x:v>
      </x:c>
      <x:c r="K29" s="51" t="n">
        <x:f>$C8*$D8*(1+$G8)</x:f>
        <x:v>5760</x:v>
      </x:c>
      <x:c r="L29" s="51" t="n">
        <x:f>$C8*$D8*(1+$G8)</x:f>
        <x:v>5760</x:v>
      </x:c>
      <x:c r="M29" s="51" t="n">
        <x:f>$C8*$D8*(1+$G8)</x:f>
        <x:v>5760</x:v>
      </x:c>
      <x:c r="N29" s="51" t="n">
        <x:f>SUM(B29:M29)</x:f>
        <x:v>69120</x:v>
      </x:c>
    </x:row>
    <x:row r="30">
      <x:c r="A30" s="24" t="str">
        <x:f>B9</x:f>
        <x:v>IT</x:v>
      </x:c>
      <x:c r="B30" s="53" t="n">
        <x:f>$C9*$D9*(1+$G9)</x:f>
        <x:v>4320</x:v>
      </x:c>
      <x:c r="C30" s="53" t="n">
        <x:f>$C9*$D9*(1+$G9)</x:f>
        <x:v>4320</x:v>
      </x:c>
      <x:c r="D30" s="53" t="n">
        <x:f>$C9*$D9*(1+$G9)</x:f>
        <x:v>4320</x:v>
      </x:c>
      <x:c r="E30" s="53" t="n">
        <x:f>$C9*$D9*(1+$G9)</x:f>
        <x:v>4320</x:v>
      </x:c>
      <x:c r="F30" s="53" t="n">
        <x:f>$C9*$D9*(1+$G9)</x:f>
        <x:v>4320</x:v>
      </x:c>
      <x:c r="G30" s="53" t="n">
        <x:f>$C9*$D9*(1+$G9)</x:f>
        <x:v>4320</x:v>
      </x:c>
      <x:c r="H30" s="53" t="n">
        <x:f>$C9*$D9*(1+$G9)</x:f>
        <x:v>4320</x:v>
      </x:c>
      <x:c r="I30" s="53" t="n">
        <x:f>$C9*$D9*(1+$G9)</x:f>
        <x:v>4320</x:v>
      </x:c>
      <x:c r="J30" s="53" t="n">
        <x:f>$C9*$D9*(1+$G9)</x:f>
        <x:v>4320</x:v>
      </x:c>
      <x:c r="K30" s="53" t="n">
        <x:f>$C9*$D9*(1+$G9)</x:f>
        <x:v>4320</x:v>
      </x:c>
      <x:c r="L30" s="53" t="n">
        <x:f>$C9*$D9*(1+$G9)</x:f>
        <x:v>4320</x:v>
      </x:c>
      <x:c r="M30" s="53" t="n">
        <x:f>$C9*$D9*(1+$G9)</x:f>
        <x:v>4320</x:v>
      </x:c>
      <x:c r="N30" s="53" t="n">
        <x:f>SUM(B30:M30)</x:f>
        <x:v>51840</x:v>
      </x:c>
    </x:row>
    <x:row r="31">
      <x:c r="A31" s="27" t="str">
        <x:f>B10</x:f>
        <x:v>Dyrektor</x:v>
      </x:c>
      <x:c r="B31" s="51" t="n">
        <x:f>$C10*$D10*(1+$G10)</x:f>
        <x:v>5040</x:v>
      </x:c>
      <x:c r="C31" s="51" t="n">
        <x:f>$C10*$D10*(1+$G10)</x:f>
        <x:v>5040</x:v>
      </x:c>
      <x:c r="D31" s="51" t="n">
        <x:f>$C10*$D10*(1+$G10)</x:f>
        <x:v>5040</x:v>
      </x:c>
      <x:c r="E31" s="51" t="n">
        <x:f>$C10*$D10*(1+$G10)</x:f>
        <x:v>5040</x:v>
      </x:c>
      <x:c r="F31" s="51" t="n">
        <x:f>$C10*$D10*(1+$G10)</x:f>
        <x:v>5040</x:v>
      </x:c>
      <x:c r="G31" s="51" t="n">
        <x:f>$C10*$D10*(1+$G10)</x:f>
        <x:v>5040</x:v>
      </x:c>
      <x:c r="H31" s="51" t="n">
        <x:f>$C10*$D10*(1+$G10)</x:f>
        <x:v>5040</x:v>
      </x:c>
      <x:c r="I31" s="51" t="n">
        <x:f>$C10*$D10*(1+$G10)</x:f>
        <x:v>5040</x:v>
      </x:c>
      <x:c r="J31" s="51" t="n">
        <x:f>$C10*$D10*(1+$G10)</x:f>
        <x:v>5040</x:v>
      </x:c>
      <x:c r="K31" s="51" t="n">
        <x:f>$C10*$D10*(1+$G10)</x:f>
        <x:v>5040</x:v>
      </x:c>
      <x:c r="L31" s="51" t="n">
        <x:f>$C10*$D10*(1+$G10)</x:f>
        <x:v>5040</x:v>
      </x:c>
      <x:c r="M31" s="51" t="n">
        <x:f>$C10*$D10*(1+$G10)</x:f>
        <x:v>5040</x:v>
      </x:c>
      <x:c r="N31" s="51" t="n">
        <x:f>SUM(B31:M31)</x:f>
        <x:v>60480</x:v>
      </x:c>
    </x:row>
    <x:row r="32">
      <x:c r="A32" s="219" t="str">
        <x:v>RAZEM</x:v>
      </x:c>
      <x:c r="B32" s="220" t="n">
        <x:f>SUM(B26:B31)</x:f>
        <x:v>43920</x:v>
      </x:c>
      <x:c r="C32" s="220" t="n">
        <x:f>SUM(C26:C31)</x:f>
        <x:v>43920</x:v>
      </x:c>
      <x:c r="D32" s="220" t="n">
        <x:f>SUM(D26:D31)</x:f>
        <x:v>43920</x:v>
      </x:c>
      <x:c r="E32" s="220" t="n">
        <x:f>SUM(E26:E31)</x:f>
        <x:v>43920</x:v>
      </x:c>
      <x:c r="F32" s="220" t="n">
        <x:f>SUM(F26:F31)</x:f>
        <x:v>43920</x:v>
      </x:c>
      <x:c r="G32" s="220" t="n">
        <x:f>SUM(G26:G31)</x:f>
        <x:v>43920</x:v>
      </x:c>
      <x:c r="H32" s="220" t="n">
        <x:f>SUM(H26:H31)</x:f>
        <x:v>43920</x:v>
      </x:c>
      <x:c r="I32" s="220" t="n">
        <x:f>SUM(I26:I31)</x:f>
        <x:v>43920</x:v>
      </x:c>
      <x:c r="J32" s="220" t="n">
        <x:f>SUM(J26:J31)</x:f>
        <x:v>43920</x:v>
      </x:c>
      <x:c r="K32" s="220" t="n">
        <x:f>SUM(K26:K31)</x:f>
        <x:v>43920</x:v>
      </x:c>
      <x:c r="L32" s="220" t="n">
        <x:f>SUM(L26:L31)</x:f>
        <x:v>43920</x:v>
      </x:c>
      <x:c r="M32" s="220" t="n">
        <x:f>SUM(M26:M31)</x:f>
        <x:v>43920</x:v>
      </x:c>
      <x:c r="N32" s="220" t="n">
        <x:f>SUM(N26:N31)</x:f>
        <x:v>527040</x:v>
      </x:c>
    </x:row>
    <x:row r="33">
      <x:c r="A33" s="210"/>
      <x:c r="B33" s="210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</x:row>
    <x:row r="34" ht="35" customHeight="1">
      <x:c r="A34" s="38" t="str">
        <x:v>Kolumny płacowe są planem controllingowym, nie danymi z FAKT_Sprzedaz. Każda zmiana FTE, płacy, terminu startu lub narzutów natychmiast przelicza OPEX, P&amp;L i cash flow.</x:v>
      </x:c>
      <x:c r="B34" s="39" t="str">
        <x:v>Kolumny płacowe są planem controllingowym, nie danymi z FAKT_Sprzedaz. Każda zmiana FTE, płacy, terminu startu lub narzutów natychmiast przelicza OPEX, P&amp;L i cash flow.</x:v>
      </x:c>
      <x:c r="C34" s="39" t="str">
        <x:v>Kolumny płacowe są planem controllingowym, nie danymi z FAKT_Sprzedaz. Każda zmiana FTE, płacy, terminu startu lub narzutów natychmiast przelicza OPEX, P&amp;L i cash flow.</x:v>
      </x:c>
      <x:c r="D34" s="39" t="str">
        <x:v>Kolumny płacowe są planem controllingowym, nie danymi z FAKT_Sprzedaz. Każda zmiana FTE, płacy, terminu startu lub narzutów natychmiast przelicza OPEX, P&amp;L i cash flow.</x:v>
      </x:c>
      <x:c r="E34" s="39" t="str">
        <x:v>Kolumny płacowe są planem controllingowym, nie danymi z FAKT_Sprzedaz. Każda zmiana FTE, płacy, terminu startu lub narzutów natychmiast przelicza OPEX, P&amp;L i cash flow.</x:v>
      </x:c>
      <x:c r="F34" s="39" t="str">
        <x:v>Kolumny płacowe są planem controllingowym, nie danymi z FAKT_Sprzedaz. Każda zmiana FTE, płacy, terminu startu lub narzutów natychmiast przelicza OPEX, P&amp;L i cash flow.</x:v>
      </x:c>
      <x:c r="G34" s="39" t="str">
        <x:v>Kolumny płacowe są planem controllingowym, nie danymi z FAKT_Sprzedaz. Każda zmiana FTE, płacy, terminu startu lub narzutów natychmiast przelicza OPEX, P&amp;L i cash flow.</x:v>
      </x:c>
      <x:c r="H34" s="39" t="str">
        <x:v>Kolumny płacowe są planem controllingowym, nie danymi z FAKT_Sprzedaz. Każda zmiana FTE, płacy, terminu startu lub narzutów natychmiast przelicza OPEX, P&amp;L i cash flow.</x:v>
      </x:c>
      <x:c r="I34" s="39" t="str">
        <x:v>Kolumny płacowe są planem controllingowym, nie danymi z FAKT_Sprzedaz. Każda zmiana FTE, płacy, terminu startu lub narzutów natychmiast przelicza OPEX, P&amp;L i cash flow.</x:v>
      </x:c>
      <x:c r="J34" s="39" t="str">
        <x:v>Kolumny płacowe są planem controllingowym, nie danymi z FAKT_Sprzedaz. Każda zmiana FTE, płacy, terminu startu lub narzutów natychmiast przelicza OPEX, P&amp;L i cash flow.</x:v>
      </x:c>
      <x:c r="K34" s="39" t="str">
        <x:v>Kolumny płacowe są planem controllingowym, nie danymi z FAKT_Sprzedaz. Każda zmiana FTE, płacy, terminu startu lub narzutów natychmiast przelicza OPEX, P&amp;L i cash flow.</x:v>
      </x:c>
      <x:c r="L34" s="39" t="str">
        <x:v>Kolumny płacowe są planem controllingowym, nie danymi z FAKT_Sprzedaz. Każda zmiana FTE, płacy, terminu startu lub narzutów natychmiast przelicza OPEX, P&amp;L i cash flow.</x:v>
      </x:c>
      <x:c r="M34" s="39" t="str">
        <x:v>Kolumny płacowe są planem controllingowym, nie danymi z FAKT_Sprzedaz. Każda zmiana FTE, płacy, terminu startu lub narzutów natychmiast przelicza OPEX, P&amp;L i cash flow.</x:v>
      </x:c>
      <x:c r="N34" s="40" t="str">
        <x:v>Kolumny płacowe są planem controllingowym, nie danymi z FAKT_Sprzedaz. Każda zmiana FTE, płacy, terminu startu lub narzutów natychmiast przelicza OPEX, P&amp;L i cash flow.</x:v>
      </x:c>
    </x:row>
  </x:sheetData>
  <x:mergeCells>
    <x:mergeCell ref="A1:N1"/>
    <x:mergeCell ref="A2:N2"/>
    <x:mergeCell ref="A13:N13"/>
    <x:mergeCell ref="A24:N24"/>
    <x:mergeCell ref="A34:N3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9" hidden="0" customWidth="1"/>
  </x:cols>
  <x:sheetData>
    <x:row r="1">
      <x:c r="A1" s="216" t="str">
        <x:v>CAPEX I AMORTYZACJA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Plan inwestycji controllingowych. CAPEX obciąża przepływy w miesiącu zakupu, a rachunek wyników - przez amortyzację od wskazanego miesiąca.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ID</x:v>
      </x:c>
      <x:c r="B4" s="21" t="str">
        <x:v>Aktywo</x:v>
      </x:c>
      <x:c r="C4" s="21" t="str">
        <x:v>Centrum kosztów</x:v>
      </x:c>
      <x:c r="D4" s="21" t="str">
        <x:v>Miesiąc zakupu</x:v>
      </x:c>
      <x:c r="E4" s="21" t="str">
        <x:v>Kwota CAPEX</x:v>
      </x:c>
      <x:c r="F4" s="21" t="str">
        <x:v>Okres użyteczności (mies.)</x:v>
      </x:c>
      <x:c r="G4" s="21" t="str">
        <x:v>Start amortyzacji</x:v>
      </x:c>
      <x:c r="H4" s="210"/>
      <x:c r="I4" s="210"/>
      <x:c r="J4" s="210"/>
      <x:c r="K4" s="210"/>
      <x:c r="L4" s="210"/>
      <x:c r="M4" s="210"/>
      <x:c r="N4" s="210"/>
    </x:row>
    <x:row r="5">
      <x:c r="A5" s="24" t="str">
        <x:v>A001</x:v>
      </x:c>
      <x:c r="B5" s="24" t="str">
        <x:v>System ERP</x:v>
      </x:c>
      <x:c r="C5" s="24" t="str">
        <x:v>CC500</x:v>
      </x:c>
      <x:c r="D5" s="59" t="n">
        <x:v>45717</x:v>
      </x:c>
      <x:c r="E5" s="53" t="n">
        <x:v>120000</x:v>
      </x:c>
      <x:c r="F5" s="65" t="n">
        <x:v>36</x:v>
      </x:c>
      <x:c r="G5" s="59" t="n">
        <x:v>45748</x:v>
      </x:c>
      <x:c r="H5" s="210"/>
      <x:c r="I5" s="210"/>
      <x:c r="J5" s="210"/>
      <x:c r="K5" s="210"/>
      <x:c r="L5" s="210"/>
      <x:c r="M5" s="210"/>
      <x:c r="N5" s="210"/>
    </x:row>
    <x:row r="6">
      <x:c r="A6" s="27" t="str">
        <x:v>A002</x:v>
      </x:c>
      <x:c r="B6" s="27" t="str">
        <x:v>Wyposażenie magazynu</x:v>
      </x:c>
      <x:c r="C6" s="27" t="str">
        <x:v>CC300</x:v>
      </x:c>
      <x:c r="D6" s="60" t="n">
        <x:v>45809</x:v>
      </x:c>
      <x:c r="E6" s="51" t="n">
        <x:v>80000</x:v>
      </x:c>
      <x:c r="F6" s="66" t="n">
        <x:v>60</x:v>
      </x:c>
      <x:c r="G6" s="60" t="n">
        <x:v>45839</x:v>
      </x:c>
      <x:c r="H6" s="210"/>
      <x:c r="I6" s="210"/>
      <x:c r="J6" s="210"/>
      <x:c r="K6" s="210"/>
      <x:c r="L6" s="210"/>
      <x:c r="M6" s="210"/>
      <x:c r="N6" s="210"/>
    </x:row>
    <x:row r="7">
      <x:c r="A7" s="24" t="str">
        <x:v>A003</x:v>
      </x:c>
      <x:c r="B7" s="24" t="str">
        <x:v>Infrastruktura IT</x:v>
      </x:c>
      <x:c r="C7" s="24" t="str">
        <x:v>CC500</x:v>
      </x:c>
      <x:c r="D7" s="59" t="n">
        <x:v>46023</x:v>
      </x:c>
      <x:c r="E7" s="53" t="n">
        <x:v>60000</x:v>
      </x:c>
      <x:c r="F7" s="65" t="n">
        <x:v>36</x:v>
      </x:c>
      <x:c r="G7" s="59" t="n">
        <x:v>46054</x:v>
      </x:c>
      <x:c r="H7" s="210"/>
      <x:c r="I7" s="210"/>
      <x:c r="J7" s="210"/>
      <x:c r="K7" s="210"/>
      <x:c r="L7" s="210"/>
      <x:c r="M7" s="210"/>
      <x:c r="N7" s="210"/>
    </x:row>
    <x:row r="8">
      <x:c r="A8" s="27" t="str">
        <x:v>A004</x:v>
      </x:c>
      <x:c r="B8" s="27" t="str">
        <x:v>System CRM</x:v>
      </x:c>
      <x:c r="C8" s="27" t="str">
        <x:v>CC100</x:v>
      </x:c>
      <x:c r="D8" s="60" t="n">
        <x:v>46143</x:v>
      </x:c>
      <x:c r="E8" s="51" t="n">
        <x:v>45000</x:v>
      </x:c>
      <x:c r="F8" s="66" t="n">
        <x:v>36</x:v>
      </x:c>
      <x:c r="G8" s="60" t="n">
        <x:v>46174</x:v>
      </x:c>
      <x:c r="H8" s="210"/>
      <x:c r="I8" s="210"/>
      <x:c r="J8" s="210"/>
      <x:c r="K8" s="210"/>
      <x:c r="L8" s="210"/>
      <x:c r="M8" s="210"/>
      <x:c r="N8" s="210"/>
    </x:row>
    <x:row r="9">
      <x:c r="A9" s="24" t="str">
        <x:v>A005</x:v>
      </x:c>
      <x:c r="B9" s="24" t="str">
        <x:v>Linia pakowania</x:v>
      </x:c>
      <x:c r="C9" s="24" t="str">
        <x:v>CC300</x:v>
      </x:c>
      <x:c r="D9" s="59" t="n">
        <x:v>46266</x:v>
      </x:c>
      <x:c r="E9" s="53" t="n">
        <x:v>150000</x:v>
      </x:c>
      <x:c r="F9" s="65" t="n">
        <x:v>60</x:v>
      </x:c>
      <x:c r="G9" s="59" t="n">
        <x:v>46296</x:v>
      </x:c>
      <x:c r="H9" s="210"/>
      <x:c r="I9" s="210"/>
      <x:c r="J9" s="210"/>
      <x:c r="K9" s="210"/>
      <x:c r="L9" s="210"/>
      <x:c r="M9" s="210"/>
      <x:c r="N9" s="210"/>
    </x:row>
    <x:row r="10">
      <x:c r="A10" s="27" t="str">
        <x:v>A006</x:v>
      </x:c>
      <x:c r="B10" s="27" t="str">
        <x:v>Wyposażenie biura</x:v>
      </x:c>
      <x:c r="C10" s="27" t="str">
        <x:v>CC400</x:v>
      </x:c>
      <x:c r="D10" s="60" t="n">
        <x:v>46327</x:v>
      </x:c>
      <x:c r="E10" s="51" t="n">
        <x:v>30000</x:v>
      </x:c>
      <x:c r="F10" s="66" t="n">
        <x:v>36</x:v>
      </x:c>
      <x:c r="G10" s="60" t="n">
        <x:v>46357</x:v>
      </x:c>
      <x:c r="H10" s="210"/>
      <x:c r="I10" s="210"/>
      <x:c r="J10" s="210"/>
      <x:c r="K10" s="210"/>
      <x:c r="L10" s="210"/>
      <x:c r="M10" s="210"/>
      <x:c r="N10" s="210"/>
    </x:row>
    <x:row r="11">
      <x:c r="A11" s="210"/>
      <x:c r="B11" s="210"/>
      <x:c r="C11" s="210"/>
      <x:c r="D11" s="210"/>
      <x:c r="E11" s="210"/>
      <x:c r="F11" s="210"/>
      <x:c r="G11" s="210"/>
      <x:c r="H11" s="210"/>
      <x:c r="I11" s="210"/>
      <x:c r="J11" s="210"/>
      <x:c r="K11" s="210"/>
      <x:c r="L11" s="210"/>
      <x:c r="M11" s="210"/>
      <x:c r="N11" s="210"/>
    </x:row>
    <x:row r="12" ht="23" customHeight="1">
      <x:c r="A12" s="16" t="str">
        <x:v>Harmonogram amortyzacji i CAPEX 2025</x:v>
      </x:c>
      <x:c r="B12" s="16" t="str">
        <x:v>Harmonogram amortyzacji i CAPEX 2025</x:v>
      </x:c>
      <x:c r="C12" s="16" t="str">
        <x:v>Harmonogram amortyzacji i CAPEX 2025</x:v>
      </x:c>
      <x:c r="D12" s="16" t="str">
        <x:v>Harmonogram amortyzacji i CAPEX 2025</x:v>
      </x:c>
      <x:c r="E12" s="16" t="str">
        <x:v>Harmonogram amortyzacji i CAPEX 2025</x:v>
      </x:c>
      <x:c r="F12" s="16" t="str">
        <x:v>Harmonogram amortyzacji i CAPEX 2025</x:v>
      </x:c>
      <x:c r="G12" s="16" t="str">
        <x:v>Harmonogram amortyzacji i CAPEX 2025</x:v>
      </x:c>
      <x:c r="H12" s="16" t="str">
        <x:v>Harmonogram amortyzacji i CAPEX 2025</x:v>
      </x:c>
      <x:c r="I12" s="16" t="str">
        <x:v>Harmonogram amortyzacji i CAPEX 2025</x:v>
      </x:c>
      <x:c r="J12" s="16" t="str">
        <x:v>Harmonogram amortyzacji i CAPEX 2025</x:v>
      </x:c>
      <x:c r="K12" s="16" t="str">
        <x:v>Harmonogram amortyzacji i CAPEX 2025</x:v>
      </x:c>
      <x:c r="L12" s="16" t="str">
        <x:v>Harmonogram amortyzacji i CAPEX 2025</x:v>
      </x:c>
      <x:c r="M12" s="16" t="str">
        <x:v>Harmonogram amortyzacji i CAPEX 2025</x:v>
      </x:c>
      <x:c r="N12" s="16" t="str">
        <x:v>Harmonogram amortyzacji i CAPEX 2025</x:v>
      </x:c>
    </x:row>
    <x:row r="13" ht="32" customHeight="1">
      <x:c r="A13" s="21" t="str">
        <x:v>Aktywo</x:v>
      </x:c>
      <x:c r="B13" s="80" t="n">
        <x:v>45658</x:v>
      </x:c>
      <x:c r="C13" s="80" t="n">
        <x:v>45689</x:v>
      </x:c>
      <x:c r="D13" s="80" t="n">
        <x:v>45717</x:v>
      </x:c>
      <x:c r="E13" s="80" t="n">
        <x:v>45748</x:v>
      </x:c>
      <x:c r="F13" s="80" t="n">
        <x:v>45778</x:v>
      </x:c>
      <x:c r="G13" s="80" t="n">
        <x:v>45809</x:v>
      </x:c>
      <x:c r="H13" s="80" t="n">
        <x:v>45839</x:v>
      </x:c>
      <x:c r="I13" s="80" t="n">
        <x:v>45870</x:v>
      </x:c>
      <x:c r="J13" s="80" t="n">
        <x:v>45901</x:v>
      </x:c>
      <x:c r="K13" s="80" t="n">
        <x:v>45931</x:v>
      </x:c>
      <x:c r="L13" s="80" t="n">
        <x:v>45962</x:v>
      </x:c>
      <x:c r="M13" s="80" t="n">
        <x:v>45992</x:v>
      </x:c>
      <x:c r="N13" s="21" t="str">
        <x:v>Razem</x:v>
      </x:c>
    </x:row>
    <x:row r="14">
      <x:c r="A14" s="24" t="str">
        <x:f>B5</x:f>
        <x:v>System ERP</x:v>
      </x:c>
      <x:c r="B14" s="53" t="n">
        <x:f>IF(B$13&gt;=$G5,$E5/$F5,0)</x:f>
        <x:v>0</x:v>
      </x:c>
      <x:c r="C14" s="53" t="n">
        <x:f>IF(C$13&gt;=$G5,$E5/$F5,0)</x:f>
        <x:v>0</x:v>
      </x:c>
      <x:c r="D14" s="53" t="n">
        <x:f>IF(D$13&gt;=$G5,$E5/$F5,0)</x:f>
        <x:v>0</x:v>
      </x:c>
      <x:c r="E14" s="53" t="n">
        <x:f>IF(E$13&gt;=$G5,$E5/$F5,0)</x:f>
        <x:v>3333.3333333333335</x:v>
      </x:c>
      <x:c r="F14" s="53" t="n">
        <x:f>IF(F$13&gt;=$G5,$E5/$F5,0)</x:f>
        <x:v>3333.3333333333335</x:v>
      </x:c>
      <x:c r="G14" s="53" t="n">
        <x:f>IF(G$13&gt;=$G5,$E5/$F5,0)</x:f>
        <x:v>3333.3333333333335</x:v>
      </x:c>
      <x:c r="H14" s="53" t="n">
        <x:f>IF(H$13&gt;=$G5,$E5/$F5,0)</x:f>
        <x:v>3333.3333333333335</x:v>
      </x:c>
      <x:c r="I14" s="53" t="n">
        <x:f>IF(I$13&gt;=$G5,$E5/$F5,0)</x:f>
        <x:v>3333.3333333333335</x:v>
      </x:c>
      <x:c r="J14" s="53" t="n">
        <x:f>IF(J$13&gt;=$G5,$E5/$F5,0)</x:f>
        <x:v>3333.3333333333335</x:v>
      </x:c>
      <x:c r="K14" s="53" t="n">
        <x:f>IF(K$13&gt;=$G5,$E5/$F5,0)</x:f>
        <x:v>3333.3333333333335</x:v>
      </x:c>
      <x:c r="L14" s="53" t="n">
        <x:f>IF(L$13&gt;=$G5,$E5/$F5,0)</x:f>
        <x:v>3333.3333333333335</x:v>
      </x:c>
      <x:c r="M14" s="53" t="n">
        <x:f>IF(M$13&gt;=$G5,$E5/$F5,0)</x:f>
        <x:v>3333.3333333333335</x:v>
      </x:c>
      <x:c r="N14" s="53" t="n">
        <x:f>SUM(B14:M14)</x:f>
        <x:v>29999.999999999996</x:v>
      </x:c>
    </x:row>
    <x:row r="15">
      <x:c r="A15" s="27" t="str">
        <x:f>B6</x:f>
        <x:v>Wyposażenie magazynu</x:v>
      </x:c>
      <x:c r="B15" s="51" t="n">
        <x:f>IF(B$13&gt;=$G6,$E6/$F6,0)</x:f>
        <x:v>0</x:v>
      </x:c>
      <x:c r="C15" s="51" t="n">
        <x:f>IF(C$13&gt;=$G6,$E6/$F6,0)</x:f>
        <x:v>0</x:v>
      </x:c>
      <x:c r="D15" s="51" t="n">
        <x:f>IF(D$13&gt;=$G6,$E6/$F6,0)</x:f>
        <x:v>0</x:v>
      </x:c>
      <x:c r="E15" s="51" t="n">
        <x:f>IF(E$13&gt;=$G6,$E6/$F6,0)</x:f>
        <x:v>0</x:v>
      </x:c>
      <x:c r="F15" s="51" t="n">
        <x:f>IF(F$13&gt;=$G6,$E6/$F6,0)</x:f>
        <x:v>0</x:v>
      </x:c>
      <x:c r="G15" s="51" t="n">
        <x:f>IF(G$13&gt;=$G6,$E6/$F6,0)</x:f>
        <x:v>0</x:v>
      </x:c>
      <x:c r="H15" s="51" t="n">
        <x:f>IF(H$13&gt;=$G6,$E6/$F6,0)</x:f>
        <x:v>1333.3333333333333</x:v>
      </x:c>
      <x:c r="I15" s="51" t="n">
        <x:f>IF(I$13&gt;=$G6,$E6/$F6,0)</x:f>
        <x:v>1333.3333333333333</x:v>
      </x:c>
      <x:c r="J15" s="51" t="n">
        <x:f>IF(J$13&gt;=$G6,$E6/$F6,0)</x:f>
        <x:v>1333.3333333333333</x:v>
      </x:c>
      <x:c r="K15" s="51" t="n">
        <x:f>IF(K$13&gt;=$G6,$E6/$F6,0)</x:f>
        <x:v>1333.3333333333333</x:v>
      </x:c>
      <x:c r="L15" s="51" t="n">
        <x:f>IF(L$13&gt;=$G6,$E6/$F6,0)</x:f>
        <x:v>1333.3333333333333</x:v>
      </x:c>
      <x:c r="M15" s="51" t="n">
        <x:f>IF(M$13&gt;=$G6,$E6/$F6,0)</x:f>
        <x:v>1333.3333333333333</x:v>
      </x:c>
      <x:c r="N15" s="51" t="n">
        <x:f>SUM(B15:M15)</x:f>
        <x:v>7999.999999999999</x:v>
      </x:c>
    </x:row>
    <x:row r="16">
      <x:c r="A16" s="24" t="str">
        <x:f>B7</x:f>
        <x:v>Infrastruktura IT</x:v>
      </x:c>
      <x:c r="B16" s="53" t="n">
        <x:f>IF(B$13&gt;=$G7,$E7/$F7,0)</x:f>
        <x:v>0</x:v>
      </x:c>
      <x:c r="C16" s="53" t="n">
        <x:f>IF(C$13&gt;=$G7,$E7/$F7,0)</x:f>
        <x:v>0</x:v>
      </x:c>
      <x:c r="D16" s="53" t="n">
        <x:f>IF(D$13&gt;=$G7,$E7/$F7,0)</x:f>
        <x:v>0</x:v>
      </x:c>
      <x:c r="E16" s="53" t="n">
        <x:f>IF(E$13&gt;=$G7,$E7/$F7,0)</x:f>
        <x:v>0</x:v>
      </x:c>
      <x:c r="F16" s="53" t="n">
        <x:f>IF(F$13&gt;=$G7,$E7/$F7,0)</x:f>
        <x:v>0</x:v>
      </x:c>
      <x:c r="G16" s="53" t="n">
        <x:f>IF(G$13&gt;=$G7,$E7/$F7,0)</x:f>
        <x:v>0</x:v>
      </x:c>
      <x:c r="H16" s="53" t="n">
        <x:f>IF(H$13&gt;=$G7,$E7/$F7,0)</x:f>
        <x:v>0</x:v>
      </x:c>
      <x:c r="I16" s="53" t="n">
        <x:f>IF(I$13&gt;=$G7,$E7/$F7,0)</x:f>
        <x:v>0</x:v>
      </x:c>
      <x:c r="J16" s="53" t="n">
        <x:f>IF(J$13&gt;=$G7,$E7/$F7,0)</x:f>
        <x:v>0</x:v>
      </x:c>
      <x:c r="K16" s="53" t="n">
        <x:f>IF(K$13&gt;=$G7,$E7/$F7,0)</x:f>
        <x:v>0</x:v>
      </x:c>
      <x:c r="L16" s="53" t="n">
        <x:f>IF(L$13&gt;=$G7,$E7/$F7,0)</x:f>
        <x:v>0</x:v>
      </x:c>
      <x:c r="M16" s="53" t="n">
        <x:f>IF(M$13&gt;=$G7,$E7/$F7,0)</x:f>
        <x:v>0</x:v>
      </x:c>
      <x:c r="N16" s="53" t="n">
        <x:f>SUM(B16:M16)</x:f>
        <x:v>0</x:v>
      </x:c>
    </x:row>
    <x:row r="17">
      <x:c r="A17" s="27" t="str">
        <x:f>B8</x:f>
        <x:v>System CRM</x:v>
      </x:c>
      <x:c r="B17" s="51" t="n">
        <x:f>IF(B$13&gt;=$G8,$E8/$F8,0)</x:f>
        <x:v>0</x:v>
      </x:c>
      <x:c r="C17" s="51" t="n">
        <x:f>IF(C$13&gt;=$G8,$E8/$F8,0)</x:f>
        <x:v>0</x:v>
      </x:c>
      <x:c r="D17" s="51" t="n">
        <x:f>IF(D$13&gt;=$G8,$E8/$F8,0)</x:f>
        <x:v>0</x:v>
      </x:c>
      <x:c r="E17" s="51" t="n">
        <x:f>IF(E$13&gt;=$G8,$E8/$F8,0)</x:f>
        <x:v>0</x:v>
      </x:c>
      <x:c r="F17" s="51" t="n">
        <x:f>IF(F$13&gt;=$G8,$E8/$F8,0)</x:f>
        <x:v>0</x:v>
      </x:c>
      <x:c r="G17" s="51" t="n">
        <x:f>IF(G$13&gt;=$G8,$E8/$F8,0)</x:f>
        <x:v>0</x:v>
      </x:c>
      <x:c r="H17" s="51" t="n">
        <x:f>IF(H$13&gt;=$G8,$E8/$F8,0)</x:f>
        <x:v>0</x:v>
      </x:c>
      <x:c r="I17" s="51" t="n">
        <x:f>IF(I$13&gt;=$G8,$E8/$F8,0)</x:f>
        <x:v>0</x:v>
      </x:c>
      <x:c r="J17" s="51" t="n">
        <x:f>IF(J$13&gt;=$G8,$E8/$F8,0)</x:f>
        <x:v>0</x:v>
      </x:c>
      <x:c r="K17" s="51" t="n">
        <x:f>IF(K$13&gt;=$G8,$E8/$F8,0)</x:f>
        <x:v>0</x:v>
      </x:c>
      <x:c r="L17" s="51" t="n">
        <x:f>IF(L$13&gt;=$G8,$E8/$F8,0)</x:f>
        <x:v>0</x:v>
      </x:c>
      <x:c r="M17" s="51" t="n">
        <x:f>IF(M$13&gt;=$G8,$E8/$F8,0)</x:f>
        <x:v>0</x:v>
      </x:c>
      <x:c r="N17" s="51" t="n">
        <x:f>SUM(B17:M17)</x:f>
        <x:v>0</x:v>
      </x:c>
    </x:row>
    <x:row r="18">
      <x:c r="A18" s="24" t="str">
        <x:f>B9</x:f>
        <x:v>Linia pakowania</x:v>
      </x:c>
      <x:c r="B18" s="53" t="n">
        <x:f>IF(B$13&gt;=$G9,$E9/$F9,0)</x:f>
        <x:v>0</x:v>
      </x:c>
      <x:c r="C18" s="53" t="n">
        <x:f>IF(C$13&gt;=$G9,$E9/$F9,0)</x:f>
        <x:v>0</x:v>
      </x:c>
      <x:c r="D18" s="53" t="n">
        <x:f>IF(D$13&gt;=$G9,$E9/$F9,0)</x:f>
        <x:v>0</x:v>
      </x:c>
      <x:c r="E18" s="53" t="n">
        <x:f>IF(E$13&gt;=$G9,$E9/$F9,0)</x:f>
        <x:v>0</x:v>
      </x:c>
      <x:c r="F18" s="53" t="n">
        <x:f>IF(F$13&gt;=$G9,$E9/$F9,0)</x:f>
        <x:v>0</x:v>
      </x:c>
      <x:c r="G18" s="53" t="n">
        <x:f>IF(G$13&gt;=$G9,$E9/$F9,0)</x:f>
        <x:v>0</x:v>
      </x:c>
      <x:c r="H18" s="53" t="n">
        <x:f>IF(H$13&gt;=$G9,$E9/$F9,0)</x:f>
        <x:v>0</x:v>
      </x:c>
      <x:c r="I18" s="53" t="n">
        <x:f>IF(I$13&gt;=$G9,$E9/$F9,0)</x:f>
        <x:v>0</x:v>
      </x:c>
      <x:c r="J18" s="53" t="n">
        <x:f>IF(J$13&gt;=$G9,$E9/$F9,0)</x:f>
        <x:v>0</x:v>
      </x:c>
      <x:c r="K18" s="53" t="n">
        <x:f>IF(K$13&gt;=$G9,$E9/$F9,0)</x:f>
        <x:v>0</x:v>
      </x:c>
      <x:c r="L18" s="53" t="n">
        <x:f>IF(L$13&gt;=$G9,$E9/$F9,0)</x:f>
        <x:v>0</x:v>
      </x:c>
      <x:c r="M18" s="53" t="n">
        <x:f>IF(M$13&gt;=$G9,$E9/$F9,0)</x:f>
        <x:v>0</x:v>
      </x:c>
      <x:c r="N18" s="53" t="n">
        <x:f>SUM(B18:M18)</x:f>
        <x:v>0</x:v>
      </x:c>
    </x:row>
    <x:row r="19">
      <x:c r="A19" s="27" t="str">
        <x:f>B10</x:f>
        <x:v>Wyposażenie biura</x:v>
      </x:c>
      <x:c r="B19" s="51" t="n">
        <x:f>IF(B$13&gt;=$G10,$E10/$F10,0)</x:f>
        <x:v>0</x:v>
      </x:c>
      <x:c r="C19" s="51" t="n">
        <x:f>IF(C$13&gt;=$G10,$E10/$F10,0)</x:f>
        <x:v>0</x:v>
      </x:c>
      <x:c r="D19" s="51" t="n">
        <x:f>IF(D$13&gt;=$G10,$E10/$F10,0)</x:f>
        <x:v>0</x:v>
      </x:c>
      <x:c r="E19" s="51" t="n">
        <x:f>IF(E$13&gt;=$G10,$E10/$F10,0)</x:f>
        <x:v>0</x:v>
      </x:c>
      <x:c r="F19" s="51" t="n">
        <x:f>IF(F$13&gt;=$G10,$E10/$F10,0)</x:f>
        <x:v>0</x:v>
      </x:c>
      <x:c r="G19" s="51" t="n">
        <x:f>IF(G$13&gt;=$G10,$E10/$F10,0)</x:f>
        <x:v>0</x:v>
      </x:c>
      <x:c r="H19" s="51" t="n">
        <x:f>IF(H$13&gt;=$G10,$E10/$F10,0)</x:f>
        <x:v>0</x:v>
      </x:c>
      <x:c r="I19" s="51" t="n">
        <x:f>IF(I$13&gt;=$G10,$E10/$F10,0)</x:f>
        <x:v>0</x:v>
      </x:c>
      <x:c r="J19" s="51" t="n">
        <x:f>IF(J$13&gt;=$G10,$E10/$F10,0)</x:f>
        <x:v>0</x:v>
      </x:c>
      <x:c r="K19" s="51" t="n">
        <x:f>IF(K$13&gt;=$G10,$E10/$F10,0)</x:f>
        <x:v>0</x:v>
      </x:c>
      <x:c r="L19" s="51" t="n">
        <x:f>IF(L$13&gt;=$G10,$E10/$F10,0)</x:f>
        <x:v>0</x:v>
      </x:c>
      <x:c r="M19" s="51" t="n">
        <x:f>IF(M$13&gt;=$G10,$E10/$F10,0)</x:f>
        <x:v>0</x:v>
      </x:c>
      <x:c r="N19" s="51" t="n">
        <x:f>SUM(B19:M19)</x:f>
        <x:v>0</x:v>
      </x:c>
    </x:row>
    <x:row r="20">
      <x:c r="A20" s="223" t="str">
        <x:v>AMORTYZACJA RAZEM</x:v>
      </x:c>
      <x:c r="B20" s="224" t="n">
        <x:f>SUM(B14:B19)</x:f>
        <x:v>0</x:v>
      </x:c>
      <x:c r="C20" s="224" t="n">
        <x:f>SUM(C14:C19)</x:f>
        <x:v>0</x:v>
      </x:c>
      <x:c r="D20" s="224" t="n">
        <x:f>SUM(D14:D19)</x:f>
        <x:v>0</x:v>
      </x:c>
      <x:c r="E20" s="224" t="n">
        <x:f>SUM(E14:E19)</x:f>
        <x:v>3333.3333333333335</x:v>
      </x:c>
      <x:c r="F20" s="224" t="n">
        <x:f>SUM(F14:F19)</x:f>
        <x:v>3333.3333333333335</x:v>
      </x:c>
      <x:c r="G20" s="224" t="n">
        <x:f>SUM(G14:G19)</x:f>
        <x:v>3333.3333333333335</x:v>
      </x:c>
      <x:c r="H20" s="224" t="n">
        <x:f>SUM(H14:H19)</x:f>
        <x:v>4666.666666666667</x:v>
      </x:c>
      <x:c r="I20" s="224" t="n">
        <x:f>SUM(I14:I19)</x:f>
        <x:v>4666.666666666667</x:v>
      </x:c>
      <x:c r="J20" s="224" t="n">
        <x:f>SUM(J14:J19)</x:f>
        <x:v>4666.666666666667</x:v>
      </x:c>
      <x:c r="K20" s="224" t="n">
        <x:f>SUM(K14:K19)</x:f>
        <x:v>4666.666666666667</x:v>
      </x:c>
      <x:c r="L20" s="224" t="n">
        <x:f>SUM(L14:L19)</x:f>
        <x:v>4666.666666666667</x:v>
      </x:c>
      <x:c r="M20" s="224" t="n">
        <x:f>SUM(M14:M19)</x:f>
        <x:v>4666.666666666667</x:v>
      </x:c>
      <x:c r="N20" s="224" t="n">
        <x:f>SUM(N14:N19)</x:f>
        <x:v>37999.99999999999</x:v>
      </x:c>
    </x:row>
    <x:row r="21">
      <x:c r="A21" s="225" t="str">
        <x:v>CAPEX CASH OUT</x:v>
      </x:c>
      <x:c r="B21" s="226" t="n">
        <x:f>SUMIF($D$5:$D$10,B$13,$E$5:$E$10)</x:f>
        <x:v>0</x:v>
      </x:c>
      <x:c r="C21" s="226" t="n">
        <x:f>SUMIF($D$5:$D$10,C$13,$E$5:$E$10)</x:f>
        <x:v>0</x:v>
      </x:c>
      <x:c r="D21" s="226" t="n">
        <x:f>SUMIF($D$5:$D$10,D$13,$E$5:$E$10)</x:f>
        <x:v>120000</x:v>
      </x:c>
      <x:c r="E21" s="226" t="n">
        <x:f>SUMIF($D$5:$D$10,E$13,$E$5:$E$10)</x:f>
        <x:v>0</x:v>
      </x:c>
      <x:c r="F21" s="226" t="n">
        <x:f>SUMIF($D$5:$D$10,F$13,$E$5:$E$10)</x:f>
        <x:v>0</x:v>
      </x:c>
      <x:c r="G21" s="226" t="n">
        <x:f>SUMIF($D$5:$D$10,G$13,$E$5:$E$10)</x:f>
        <x:v>80000</x:v>
      </x:c>
      <x:c r="H21" s="226" t="n">
        <x:f>SUMIF($D$5:$D$10,H$13,$E$5:$E$10)</x:f>
        <x:v>0</x:v>
      </x:c>
      <x:c r="I21" s="226" t="n">
        <x:f>SUMIF($D$5:$D$10,I$13,$E$5:$E$10)</x:f>
        <x:v>0</x:v>
      </x:c>
      <x:c r="J21" s="226" t="n">
        <x:f>SUMIF($D$5:$D$10,J$13,$E$5:$E$10)</x:f>
        <x:v>0</x:v>
      </x:c>
      <x:c r="K21" s="226" t="n">
        <x:f>SUMIF($D$5:$D$10,K$13,$E$5:$E$10)</x:f>
        <x:v>0</x:v>
      </x:c>
      <x:c r="L21" s="226" t="n">
        <x:f>SUMIF($D$5:$D$10,L$13,$E$5:$E$10)</x:f>
        <x:v>0</x:v>
      </x:c>
      <x:c r="M21" s="226" t="n">
        <x:f>SUMIF($D$5:$D$10,M$13,$E$5:$E$10)</x:f>
        <x:v>0</x:v>
      </x:c>
      <x:c r="N21" s="226" t="n">
        <x:f>SUM(B21:M21)</x:f>
        <x:v>200000</x:v>
      </x:c>
    </x:row>
    <x:row r="22">
      <x:c r="A22" s="210"/>
      <x:c r="B22" s="210"/>
      <x:c r="C22" s="210"/>
      <x:c r="D22" s="210"/>
      <x:c r="E22" s="210"/>
      <x:c r="F22" s="210"/>
      <x:c r="G22" s="210"/>
      <x:c r="H22" s="210"/>
      <x:c r="I22" s="210"/>
      <x:c r="J22" s="210"/>
      <x:c r="K22" s="210"/>
      <x:c r="L22" s="210"/>
      <x:c r="M22" s="210"/>
      <x:c r="N22" s="210"/>
    </x:row>
    <x:row r="23" ht="23" customHeight="1">
      <x:c r="A23" s="16" t="str">
        <x:v>Harmonogram amortyzacji i CAPEX 2026</x:v>
      </x:c>
      <x:c r="B23" s="16" t="str">
        <x:v>Harmonogram amortyzacji i CAPEX 2026</x:v>
      </x:c>
      <x:c r="C23" s="16" t="str">
        <x:v>Harmonogram amortyzacji i CAPEX 2026</x:v>
      </x:c>
      <x:c r="D23" s="16" t="str">
        <x:v>Harmonogram amortyzacji i CAPEX 2026</x:v>
      </x:c>
      <x:c r="E23" s="16" t="str">
        <x:v>Harmonogram amortyzacji i CAPEX 2026</x:v>
      </x:c>
      <x:c r="F23" s="16" t="str">
        <x:v>Harmonogram amortyzacji i CAPEX 2026</x:v>
      </x:c>
      <x:c r="G23" s="16" t="str">
        <x:v>Harmonogram amortyzacji i CAPEX 2026</x:v>
      </x:c>
      <x:c r="H23" s="16" t="str">
        <x:v>Harmonogram amortyzacji i CAPEX 2026</x:v>
      </x:c>
      <x:c r="I23" s="16" t="str">
        <x:v>Harmonogram amortyzacji i CAPEX 2026</x:v>
      </x:c>
      <x:c r="J23" s="16" t="str">
        <x:v>Harmonogram amortyzacji i CAPEX 2026</x:v>
      </x:c>
      <x:c r="K23" s="16" t="str">
        <x:v>Harmonogram amortyzacji i CAPEX 2026</x:v>
      </x:c>
      <x:c r="L23" s="16" t="str">
        <x:v>Harmonogram amortyzacji i CAPEX 2026</x:v>
      </x:c>
      <x:c r="M23" s="16" t="str">
        <x:v>Harmonogram amortyzacji i CAPEX 2026</x:v>
      </x:c>
      <x:c r="N23" s="16" t="str">
        <x:v>Harmonogram amortyzacji i CAPEX 2026</x:v>
      </x:c>
    </x:row>
    <x:row r="24" ht="32" customHeight="1">
      <x:c r="A24" s="21" t="str">
        <x:v>Aktywo</x:v>
      </x:c>
      <x:c r="B24" s="80" t="n">
        <x:v>46023</x:v>
      </x:c>
      <x:c r="C24" s="80" t="n">
        <x:v>46054</x:v>
      </x:c>
      <x:c r="D24" s="80" t="n">
        <x:v>46082</x:v>
      </x:c>
      <x:c r="E24" s="80" t="n">
        <x:v>46113</x:v>
      </x:c>
      <x:c r="F24" s="80" t="n">
        <x:v>46143</x:v>
      </x:c>
      <x:c r="G24" s="80" t="n">
        <x:v>46174</x:v>
      </x:c>
      <x:c r="H24" s="80" t="n">
        <x:v>46204</x:v>
      </x:c>
      <x:c r="I24" s="80" t="n">
        <x:v>46235</x:v>
      </x:c>
      <x:c r="J24" s="80" t="n">
        <x:v>46266</x:v>
      </x:c>
      <x:c r="K24" s="80" t="n">
        <x:v>46296</x:v>
      </x:c>
      <x:c r="L24" s="80" t="n">
        <x:v>46327</x:v>
      </x:c>
      <x:c r="M24" s="80" t="n">
        <x:v>46357</x:v>
      </x:c>
      <x:c r="N24" s="21" t="str">
        <x:v>Razem</x:v>
      </x:c>
    </x:row>
    <x:row r="25">
      <x:c r="A25" s="24" t="str">
        <x:f>B5</x:f>
        <x:v>System ERP</x:v>
      </x:c>
      <x:c r="B25" s="53" t="n">
        <x:f>IF(B$24&gt;=$G5,$E5/$F5,0)</x:f>
        <x:v>3333.3333333333335</x:v>
      </x:c>
      <x:c r="C25" s="53" t="n">
        <x:f>IF(C$24&gt;=$G5,$E5/$F5,0)</x:f>
        <x:v>3333.3333333333335</x:v>
      </x:c>
      <x:c r="D25" s="53" t="n">
        <x:f>IF(D$24&gt;=$G5,$E5/$F5,0)</x:f>
        <x:v>3333.3333333333335</x:v>
      </x:c>
      <x:c r="E25" s="53" t="n">
        <x:f>IF(E$24&gt;=$G5,$E5/$F5,0)</x:f>
        <x:v>3333.3333333333335</x:v>
      </x:c>
      <x:c r="F25" s="53" t="n">
        <x:f>IF(F$24&gt;=$G5,$E5/$F5,0)</x:f>
        <x:v>3333.3333333333335</x:v>
      </x:c>
      <x:c r="G25" s="53" t="n">
        <x:f>IF(G$24&gt;=$G5,$E5/$F5,0)</x:f>
        <x:v>3333.3333333333335</x:v>
      </x:c>
      <x:c r="H25" s="53" t="n">
        <x:f>IF(H$24&gt;=$G5,$E5/$F5,0)</x:f>
        <x:v>3333.3333333333335</x:v>
      </x:c>
      <x:c r="I25" s="53" t="n">
        <x:f>IF(I$24&gt;=$G5,$E5/$F5,0)</x:f>
        <x:v>3333.3333333333335</x:v>
      </x:c>
      <x:c r="J25" s="53" t="n">
        <x:f>IF(J$24&gt;=$G5,$E5/$F5,0)</x:f>
        <x:v>3333.3333333333335</x:v>
      </x:c>
      <x:c r="K25" s="53" t="n">
        <x:f>IF(K$24&gt;=$G5,$E5/$F5,0)</x:f>
        <x:v>3333.3333333333335</x:v>
      </x:c>
      <x:c r="L25" s="53" t="n">
        <x:f>IF(L$24&gt;=$G5,$E5/$F5,0)</x:f>
        <x:v>3333.3333333333335</x:v>
      </x:c>
      <x:c r="M25" s="53" t="n">
        <x:f>IF(M$24&gt;=$G5,$E5/$F5,0)</x:f>
        <x:v>3333.3333333333335</x:v>
      </x:c>
      <x:c r="N25" s="53" t="n">
        <x:f>SUM(B25:M25)</x:f>
        <x:v>40000</x:v>
      </x:c>
    </x:row>
    <x:row r="26">
      <x:c r="A26" s="27" t="str">
        <x:f>B6</x:f>
        <x:v>Wyposażenie magazynu</x:v>
      </x:c>
      <x:c r="B26" s="51" t="n">
        <x:f>IF(B$24&gt;=$G6,$E6/$F6,0)</x:f>
        <x:v>1333.3333333333333</x:v>
      </x:c>
      <x:c r="C26" s="51" t="n">
        <x:f>IF(C$24&gt;=$G6,$E6/$F6,0)</x:f>
        <x:v>1333.3333333333333</x:v>
      </x:c>
      <x:c r="D26" s="51" t="n">
        <x:f>IF(D$24&gt;=$G6,$E6/$F6,0)</x:f>
        <x:v>1333.3333333333333</x:v>
      </x:c>
      <x:c r="E26" s="51" t="n">
        <x:f>IF(E$24&gt;=$G6,$E6/$F6,0)</x:f>
        <x:v>1333.3333333333333</x:v>
      </x:c>
      <x:c r="F26" s="51" t="n">
        <x:f>IF(F$24&gt;=$G6,$E6/$F6,0)</x:f>
        <x:v>1333.3333333333333</x:v>
      </x:c>
      <x:c r="G26" s="51" t="n">
        <x:f>IF(G$24&gt;=$G6,$E6/$F6,0)</x:f>
        <x:v>1333.3333333333333</x:v>
      </x:c>
      <x:c r="H26" s="51" t="n">
        <x:f>IF(H$24&gt;=$G6,$E6/$F6,0)</x:f>
        <x:v>1333.3333333333333</x:v>
      </x:c>
      <x:c r="I26" s="51" t="n">
        <x:f>IF(I$24&gt;=$G6,$E6/$F6,0)</x:f>
        <x:v>1333.3333333333333</x:v>
      </x:c>
      <x:c r="J26" s="51" t="n">
        <x:f>IF(J$24&gt;=$G6,$E6/$F6,0)</x:f>
        <x:v>1333.3333333333333</x:v>
      </x:c>
      <x:c r="K26" s="51" t="n">
        <x:f>IF(K$24&gt;=$G6,$E6/$F6,0)</x:f>
        <x:v>1333.3333333333333</x:v>
      </x:c>
      <x:c r="L26" s="51" t="n">
        <x:f>IF(L$24&gt;=$G6,$E6/$F6,0)</x:f>
        <x:v>1333.3333333333333</x:v>
      </x:c>
      <x:c r="M26" s="51" t="n">
        <x:f>IF(M$24&gt;=$G6,$E6/$F6,0)</x:f>
        <x:v>1333.3333333333333</x:v>
      </x:c>
      <x:c r="N26" s="51" t="n">
        <x:f>SUM(B26:M26)</x:f>
        <x:v>16000.000000000002</x:v>
      </x:c>
    </x:row>
    <x:row r="27">
      <x:c r="A27" s="24" t="str">
        <x:f>B7</x:f>
        <x:v>Infrastruktura IT</x:v>
      </x:c>
      <x:c r="B27" s="53" t="n">
        <x:f>IF(B$24&gt;=$G7,$E7/$F7,0)</x:f>
        <x:v>0</x:v>
      </x:c>
      <x:c r="C27" s="53" t="n">
        <x:f>IF(C$24&gt;=$G7,$E7/$F7,0)</x:f>
        <x:v>1666.6666666666667</x:v>
      </x:c>
      <x:c r="D27" s="53" t="n">
        <x:f>IF(D$24&gt;=$G7,$E7/$F7,0)</x:f>
        <x:v>1666.6666666666667</x:v>
      </x:c>
      <x:c r="E27" s="53" t="n">
        <x:f>IF(E$24&gt;=$G7,$E7/$F7,0)</x:f>
        <x:v>1666.6666666666667</x:v>
      </x:c>
      <x:c r="F27" s="53" t="n">
        <x:f>IF(F$24&gt;=$G7,$E7/$F7,0)</x:f>
        <x:v>1666.6666666666667</x:v>
      </x:c>
      <x:c r="G27" s="53" t="n">
        <x:f>IF(G$24&gt;=$G7,$E7/$F7,0)</x:f>
        <x:v>1666.6666666666667</x:v>
      </x:c>
      <x:c r="H27" s="53" t="n">
        <x:f>IF(H$24&gt;=$G7,$E7/$F7,0)</x:f>
        <x:v>1666.6666666666667</x:v>
      </x:c>
      <x:c r="I27" s="53" t="n">
        <x:f>IF(I$24&gt;=$G7,$E7/$F7,0)</x:f>
        <x:v>1666.6666666666667</x:v>
      </x:c>
      <x:c r="J27" s="53" t="n">
        <x:f>IF(J$24&gt;=$G7,$E7/$F7,0)</x:f>
        <x:v>1666.6666666666667</x:v>
      </x:c>
      <x:c r="K27" s="53" t="n">
        <x:f>IF(K$24&gt;=$G7,$E7/$F7,0)</x:f>
        <x:v>1666.6666666666667</x:v>
      </x:c>
      <x:c r="L27" s="53" t="n">
        <x:f>IF(L$24&gt;=$G7,$E7/$F7,0)</x:f>
        <x:v>1666.6666666666667</x:v>
      </x:c>
      <x:c r="M27" s="53" t="n">
        <x:f>IF(M$24&gt;=$G7,$E7/$F7,0)</x:f>
        <x:v>1666.6666666666667</x:v>
      </x:c>
      <x:c r="N27" s="53" t="n">
        <x:f>SUM(B27:M27)</x:f>
        <x:v>18333.333333333332</x:v>
      </x:c>
    </x:row>
    <x:row r="28">
      <x:c r="A28" s="27" t="str">
        <x:f>B8</x:f>
        <x:v>System CRM</x:v>
      </x:c>
      <x:c r="B28" s="51" t="n">
        <x:f>IF(B$24&gt;=$G8,$E8/$F8,0)</x:f>
        <x:v>0</x:v>
      </x:c>
      <x:c r="C28" s="51" t="n">
        <x:f>IF(C$24&gt;=$G8,$E8/$F8,0)</x:f>
        <x:v>0</x:v>
      </x:c>
      <x:c r="D28" s="51" t="n">
        <x:f>IF(D$24&gt;=$G8,$E8/$F8,0)</x:f>
        <x:v>0</x:v>
      </x:c>
      <x:c r="E28" s="51" t="n">
        <x:f>IF(E$24&gt;=$G8,$E8/$F8,0)</x:f>
        <x:v>0</x:v>
      </x:c>
      <x:c r="F28" s="51" t="n">
        <x:f>IF(F$24&gt;=$G8,$E8/$F8,0)</x:f>
        <x:v>0</x:v>
      </x:c>
      <x:c r="G28" s="51" t="n">
        <x:f>IF(G$24&gt;=$G8,$E8/$F8,0)</x:f>
        <x:v>1250</x:v>
      </x:c>
      <x:c r="H28" s="51" t="n">
        <x:f>IF(H$24&gt;=$G8,$E8/$F8,0)</x:f>
        <x:v>1250</x:v>
      </x:c>
      <x:c r="I28" s="51" t="n">
        <x:f>IF(I$24&gt;=$G8,$E8/$F8,0)</x:f>
        <x:v>1250</x:v>
      </x:c>
      <x:c r="J28" s="51" t="n">
        <x:f>IF(J$24&gt;=$G8,$E8/$F8,0)</x:f>
        <x:v>1250</x:v>
      </x:c>
      <x:c r="K28" s="51" t="n">
        <x:f>IF(K$24&gt;=$G8,$E8/$F8,0)</x:f>
        <x:v>1250</x:v>
      </x:c>
      <x:c r="L28" s="51" t="n">
        <x:f>IF(L$24&gt;=$G8,$E8/$F8,0)</x:f>
        <x:v>1250</x:v>
      </x:c>
      <x:c r="M28" s="51" t="n">
        <x:f>IF(M$24&gt;=$G8,$E8/$F8,0)</x:f>
        <x:v>1250</x:v>
      </x:c>
      <x:c r="N28" s="51" t="n">
        <x:f>SUM(B28:M28)</x:f>
        <x:v>8750</x:v>
      </x:c>
    </x:row>
    <x:row r="29">
      <x:c r="A29" s="24" t="str">
        <x:f>B9</x:f>
        <x:v>Linia pakowania</x:v>
      </x:c>
      <x:c r="B29" s="53" t="n">
        <x:f>IF(B$24&gt;=$G9,$E9/$F9,0)</x:f>
        <x:v>0</x:v>
      </x:c>
      <x:c r="C29" s="53" t="n">
        <x:f>IF(C$24&gt;=$G9,$E9/$F9,0)</x:f>
        <x:v>0</x:v>
      </x:c>
      <x:c r="D29" s="53" t="n">
        <x:f>IF(D$24&gt;=$G9,$E9/$F9,0)</x:f>
        <x:v>0</x:v>
      </x:c>
      <x:c r="E29" s="53" t="n">
        <x:f>IF(E$24&gt;=$G9,$E9/$F9,0)</x:f>
        <x:v>0</x:v>
      </x:c>
      <x:c r="F29" s="53" t="n">
        <x:f>IF(F$24&gt;=$G9,$E9/$F9,0)</x:f>
        <x:v>0</x:v>
      </x:c>
      <x:c r="G29" s="53" t="n">
        <x:f>IF(G$24&gt;=$G9,$E9/$F9,0)</x:f>
        <x:v>0</x:v>
      </x:c>
      <x:c r="H29" s="53" t="n">
        <x:f>IF(H$24&gt;=$G9,$E9/$F9,0)</x:f>
        <x:v>0</x:v>
      </x:c>
      <x:c r="I29" s="53" t="n">
        <x:f>IF(I$24&gt;=$G9,$E9/$F9,0)</x:f>
        <x:v>0</x:v>
      </x:c>
      <x:c r="J29" s="53" t="n">
        <x:f>IF(J$24&gt;=$G9,$E9/$F9,0)</x:f>
        <x:v>0</x:v>
      </x:c>
      <x:c r="K29" s="53" t="n">
        <x:f>IF(K$24&gt;=$G9,$E9/$F9,0)</x:f>
        <x:v>2500</x:v>
      </x:c>
      <x:c r="L29" s="53" t="n">
        <x:f>IF(L$24&gt;=$G9,$E9/$F9,0)</x:f>
        <x:v>2500</x:v>
      </x:c>
      <x:c r="M29" s="53" t="n">
        <x:f>IF(M$24&gt;=$G9,$E9/$F9,0)</x:f>
        <x:v>2500</x:v>
      </x:c>
      <x:c r="N29" s="53" t="n">
        <x:f>SUM(B29:M29)</x:f>
        <x:v>7500</x:v>
      </x:c>
    </x:row>
    <x:row r="30">
      <x:c r="A30" s="27" t="str">
        <x:f>B10</x:f>
        <x:v>Wyposażenie biura</x:v>
      </x:c>
      <x:c r="B30" s="51" t="n">
        <x:f>IF(B$24&gt;=$G10,$E10/$F10,0)</x:f>
        <x:v>0</x:v>
      </x:c>
      <x:c r="C30" s="51" t="n">
        <x:f>IF(C$24&gt;=$G10,$E10/$F10,0)</x:f>
        <x:v>0</x:v>
      </x:c>
      <x:c r="D30" s="51" t="n">
        <x:f>IF(D$24&gt;=$G10,$E10/$F10,0)</x:f>
        <x:v>0</x:v>
      </x:c>
      <x:c r="E30" s="51" t="n">
        <x:f>IF(E$24&gt;=$G10,$E10/$F10,0)</x:f>
        <x:v>0</x:v>
      </x:c>
      <x:c r="F30" s="51" t="n">
        <x:f>IF(F$24&gt;=$G10,$E10/$F10,0)</x:f>
        <x:v>0</x:v>
      </x:c>
      <x:c r="G30" s="51" t="n">
        <x:f>IF(G$24&gt;=$G10,$E10/$F10,0)</x:f>
        <x:v>0</x:v>
      </x:c>
      <x:c r="H30" s="51" t="n">
        <x:f>IF(H$24&gt;=$G10,$E10/$F10,0)</x:f>
        <x:v>0</x:v>
      </x:c>
      <x:c r="I30" s="51" t="n">
        <x:f>IF(I$24&gt;=$G10,$E10/$F10,0)</x:f>
        <x:v>0</x:v>
      </x:c>
      <x:c r="J30" s="51" t="n">
        <x:f>IF(J$24&gt;=$G10,$E10/$F10,0)</x:f>
        <x:v>0</x:v>
      </x:c>
      <x:c r="K30" s="51" t="n">
        <x:f>IF(K$24&gt;=$G10,$E10/$F10,0)</x:f>
        <x:v>0</x:v>
      </x:c>
      <x:c r="L30" s="51" t="n">
        <x:f>IF(L$24&gt;=$G10,$E10/$F10,0)</x:f>
        <x:v>0</x:v>
      </x:c>
      <x:c r="M30" s="51" t="n">
        <x:f>IF(M$24&gt;=$G10,$E10/$F10,0)</x:f>
        <x:v>833.3333333333334</x:v>
      </x:c>
      <x:c r="N30" s="51" t="n">
        <x:f>SUM(B30:M30)</x:f>
        <x:v>833.3333333333334</x:v>
      </x:c>
    </x:row>
    <x:row r="31">
      <x:c r="A31" s="223" t="str">
        <x:v>AMORTYZACJA RAZEM</x:v>
      </x:c>
      <x:c r="B31" s="224" t="n">
        <x:f>SUM(B25:B30)</x:f>
        <x:v>4666.666666666667</x:v>
      </x:c>
      <x:c r="C31" s="224" t="n">
        <x:f>SUM(C25:C30)</x:f>
        <x:v>6333.333333333334</x:v>
      </x:c>
      <x:c r="D31" s="224" t="n">
        <x:f>SUM(D25:D30)</x:f>
        <x:v>6333.333333333334</x:v>
      </x:c>
      <x:c r="E31" s="224" t="n">
        <x:f>SUM(E25:E30)</x:f>
        <x:v>6333.333333333334</x:v>
      </x:c>
      <x:c r="F31" s="224" t="n">
        <x:f>SUM(F25:F30)</x:f>
        <x:v>6333.333333333334</x:v>
      </x:c>
      <x:c r="G31" s="224" t="n">
        <x:f>SUM(G25:G30)</x:f>
        <x:v>7583.333333333334</x:v>
      </x:c>
      <x:c r="H31" s="224" t="n">
        <x:f>SUM(H25:H30)</x:f>
        <x:v>7583.333333333334</x:v>
      </x:c>
      <x:c r="I31" s="224" t="n">
        <x:f>SUM(I25:I30)</x:f>
        <x:v>7583.333333333334</x:v>
      </x:c>
      <x:c r="J31" s="224" t="n">
        <x:f>SUM(J25:J30)</x:f>
        <x:v>7583.333333333334</x:v>
      </x:c>
      <x:c r="K31" s="224" t="n">
        <x:f>SUM(K25:K30)</x:f>
        <x:v>10083.333333333334</x:v>
      </x:c>
      <x:c r="L31" s="224" t="n">
        <x:f>SUM(L25:L30)</x:f>
        <x:v>10083.333333333334</x:v>
      </x:c>
      <x:c r="M31" s="224" t="n">
        <x:f>SUM(M25:M30)</x:f>
        <x:v>10916.666666666668</x:v>
      </x:c>
      <x:c r="N31" s="224" t="n">
        <x:f>SUM(N25:N30)</x:f>
        <x:v>91416.66666666666</x:v>
      </x:c>
    </x:row>
    <x:row r="32">
      <x:c r="A32" s="225" t="str">
        <x:v>CAPEX CASH OUT</x:v>
      </x:c>
      <x:c r="B32" s="226" t="n">
        <x:f>SUMIF($D$5:$D$10,B$24,$E$5:$E$10)</x:f>
        <x:v>60000</x:v>
      </x:c>
      <x:c r="C32" s="226" t="n">
        <x:f>SUMIF($D$5:$D$10,C$24,$E$5:$E$10)</x:f>
        <x:v>0</x:v>
      </x:c>
      <x:c r="D32" s="226" t="n">
        <x:f>SUMIF($D$5:$D$10,D$24,$E$5:$E$10)</x:f>
        <x:v>0</x:v>
      </x:c>
      <x:c r="E32" s="226" t="n">
        <x:f>SUMIF($D$5:$D$10,E$24,$E$5:$E$10)</x:f>
        <x:v>0</x:v>
      </x:c>
      <x:c r="F32" s="226" t="n">
        <x:f>SUMIF($D$5:$D$10,F$24,$E$5:$E$10)</x:f>
        <x:v>45000</x:v>
      </x:c>
      <x:c r="G32" s="226" t="n">
        <x:f>SUMIF($D$5:$D$10,G$24,$E$5:$E$10)</x:f>
        <x:v>0</x:v>
      </x:c>
      <x:c r="H32" s="226" t="n">
        <x:f>SUMIF($D$5:$D$10,H$24,$E$5:$E$10)</x:f>
        <x:v>0</x:v>
      </x:c>
      <x:c r="I32" s="226" t="n">
        <x:f>SUMIF($D$5:$D$10,I$24,$E$5:$E$10)</x:f>
        <x:v>0</x:v>
      </x:c>
      <x:c r="J32" s="226" t="n">
        <x:f>SUMIF($D$5:$D$10,J$24,$E$5:$E$10)</x:f>
        <x:v>150000</x:v>
      </x:c>
      <x:c r="K32" s="226" t="n">
        <x:f>SUMIF($D$5:$D$10,K$24,$E$5:$E$10)</x:f>
        <x:v>0</x:v>
      </x:c>
      <x:c r="L32" s="226" t="n">
        <x:f>SUMIF($D$5:$D$10,L$24,$E$5:$E$10)</x:f>
        <x:v>30000</x:v>
      </x:c>
      <x:c r="M32" s="226" t="n">
        <x:f>SUMIF($D$5:$D$10,M$24,$E$5:$E$10)</x:f>
        <x:v>0</x:v>
      </x:c>
      <x:c r="N32" s="226" t="n">
        <x:f>SUM(B32:M32)</x:f>
        <x:v>285000</x:v>
      </x:c>
    </x:row>
    <x:row r="33">
      <x:c r="A33" s="210"/>
      <x:c r="B33" s="210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</x:row>
    <x:row r="34" ht="35" customHeight="1">
      <x:c r="A34" s="38" t="str">
        <x:v>W horyzoncie 2025-2026 żadne aktywo nie kończy okresu użyteczności, dlatego miesięczna amortyzacja po starcie pozostaje stała. Harmonogram nie utożsamia zakupu aktywa z kosztem P&amp;L.</x:v>
      </x:c>
      <x:c r="B34" s="39" t="str">
        <x:v>W horyzoncie 2025-2026 żadne aktywo nie kończy okresu użyteczności, dlatego miesięczna amortyzacja po starcie pozostaje stała. Harmonogram nie utożsamia zakupu aktywa z kosztem P&amp;L.</x:v>
      </x:c>
      <x:c r="C34" s="39" t="str">
        <x:v>W horyzoncie 2025-2026 żadne aktywo nie kończy okresu użyteczności, dlatego miesięczna amortyzacja po starcie pozostaje stała. Harmonogram nie utożsamia zakupu aktywa z kosztem P&amp;L.</x:v>
      </x:c>
      <x:c r="D34" s="39" t="str">
        <x:v>W horyzoncie 2025-2026 żadne aktywo nie kończy okresu użyteczności, dlatego miesięczna amortyzacja po starcie pozostaje stała. Harmonogram nie utożsamia zakupu aktywa z kosztem P&amp;L.</x:v>
      </x:c>
      <x:c r="E34" s="39" t="str">
        <x:v>W horyzoncie 2025-2026 żadne aktywo nie kończy okresu użyteczności, dlatego miesięczna amortyzacja po starcie pozostaje stała. Harmonogram nie utożsamia zakupu aktywa z kosztem P&amp;L.</x:v>
      </x:c>
      <x:c r="F34" s="39" t="str">
        <x:v>W horyzoncie 2025-2026 żadne aktywo nie kończy okresu użyteczności, dlatego miesięczna amortyzacja po starcie pozostaje stała. Harmonogram nie utożsamia zakupu aktywa z kosztem P&amp;L.</x:v>
      </x:c>
      <x:c r="G34" s="39" t="str">
        <x:v>W horyzoncie 2025-2026 żadne aktywo nie kończy okresu użyteczności, dlatego miesięczna amortyzacja po starcie pozostaje stała. Harmonogram nie utożsamia zakupu aktywa z kosztem P&amp;L.</x:v>
      </x:c>
      <x:c r="H34" s="39" t="str">
        <x:v>W horyzoncie 2025-2026 żadne aktywo nie kończy okresu użyteczności, dlatego miesięczna amortyzacja po starcie pozostaje stała. Harmonogram nie utożsamia zakupu aktywa z kosztem P&amp;L.</x:v>
      </x:c>
      <x:c r="I34" s="39" t="str">
        <x:v>W horyzoncie 2025-2026 żadne aktywo nie kończy okresu użyteczności, dlatego miesięczna amortyzacja po starcie pozostaje stała. Harmonogram nie utożsamia zakupu aktywa z kosztem P&amp;L.</x:v>
      </x:c>
      <x:c r="J34" s="39" t="str">
        <x:v>W horyzoncie 2025-2026 żadne aktywo nie kończy okresu użyteczności, dlatego miesięczna amortyzacja po starcie pozostaje stała. Harmonogram nie utożsamia zakupu aktywa z kosztem P&amp;L.</x:v>
      </x:c>
      <x:c r="K34" s="39" t="str">
        <x:v>W horyzoncie 2025-2026 żadne aktywo nie kończy okresu użyteczności, dlatego miesięczna amortyzacja po starcie pozostaje stała. Harmonogram nie utożsamia zakupu aktywa z kosztem P&amp;L.</x:v>
      </x:c>
      <x:c r="L34" s="39" t="str">
        <x:v>W horyzoncie 2025-2026 żadne aktywo nie kończy okresu użyteczności, dlatego miesięczna amortyzacja po starcie pozostaje stała. Harmonogram nie utożsamia zakupu aktywa z kosztem P&amp;L.</x:v>
      </x:c>
      <x:c r="M34" s="39" t="str">
        <x:v>W horyzoncie 2025-2026 żadne aktywo nie kończy okresu użyteczności, dlatego miesięczna amortyzacja po starcie pozostaje stała. Harmonogram nie utożsamia zakupu aktywa z kosztem P&amp;L.</x:v>
      </x:c>
      <x:c r="N34" s="40" t="str">
        <x:v>W horyzoncie 2025-2026 żadne aktywo nie kończy okresu użyteczności, dlatego miesięczna amortyzacja po starcie pozostaje stała. Harmonogram nie utożsamia zakupu aktywa z kosztem P&amp;L.</x:v>
      </x:c>
    </x:row>
  </x:sheetData>
  <x:mergeCells>
    <x:mergeCell ref="A1:N1"/>
    <x:mergeCell ref="A2:N2"/>
    <x:mergeCell ref="A12:N12"/>
    <x:mergeCell ref="A23:N23"/>
    <x:mergeCell ref="A34:N3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9" hidden="0" customWidth="1"/>
  </x:cols>
  <x:sheetData>
    <x:row r="1">
      <x:c r="A1" s="216" t="str">
        <x:v>KOSZTY OPERACYJNE - WYKONANIE MODELOWE I PLAN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Sprzedaż jest rzeczywista; OPEX stanowi jawną warstwę controllingową, ponieważ źródło nie zawiera księgi kosztów. Marketing zależy od przychodu, logistyka od zamówień, a płace od harmonogramu FTE.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Pozycja</x:v>
      </x:c>
      <x:c r="B4" s="80" t="n">
        <x:v>45658</x:v>
      </x:c>
      <x:c r="C4" s="80" t="n">
        <x:v>45689</x:v>
      </x:c>
      <x:c r="D4" s="80" t="n">
        <x:v>45717</x:v>
      </x:c>
      <x:c r="E4" s="80" t="n">
        <x:v>45748</x:v>
      </x:c>
      <x:c r="F4" s="80" t="n">
        <x:v>45778</x:v>
      </x:c>
      <x:c r="G4" s="80" t="n">
        <x:v>45809</x:v>
      </x:c>
      <x:c r="H4" s="80" t="n">
        <x:v>45839</x:v>
      </x:c>
      <x:c r="I4" s="80" t="n">
        <x:v>45870</x:v>
      </x:c>
      <x:c r="J4" s="80" t="n">
        <x:v>45901</x:v>
      </x:c>
      <x:c r="K4" s="80" t="n">
        <x:v>45931</x:v>
      </x:c>
      <x:c r="L4" s="80" t="n">
        <x:v>45962</x:v>
      </x:c>
      <x:c r="M4" s="80" t="n">
        <x:v>45992</x:v>
      </x:c>
      <x:c r="N4" s="21" t="str">
        <x:v>Razem</x:v>
      </x:c>
    </x:row>
    <x:row r="5">
      <x:c r="A5" s="24" t="str">
        <x:v>Przychód netto</x:v>
      </x:c>
      <x:c r="B5" s="53" t="n">
        <x:f>'06_SPRZEDAZ_WYKONANIE'!E5*'06_SPRZEDAZ_WYKONANIE'!$E$18/SUM('06_SPRZEDAZ_WYKONANIE'!$E$5:$E$16)</x:f>
        <x:v>256444.2381844127</x:v>
      </x:c>
      <x:c r="C5" s="53" t="n">
        <x:f>'06_SPRZEDAZ_WYKONANIE'!E6*'06_SPRZEDAZ_WYKONANIE'!$E$18/SUM('06_SPRZEDAZ_WYKONANIE'!$E$5:$E$16)</x:f>
        <x:v>285190.8408832935</x:v>
      </x:c>
      <x:c r="D5" s="53" t="n">
        <x:f>'06_SPRZEDAZ_WYKONANIE'!E7*'06_SPRZEDAZ_WYKONANIE'!$E$18/SUM('06_SPRZEDAZ_WYKONANIE'!$E$5:$E$16)</x:f>
        <x:v>243405.58363478485</x:v>
      </x:c>
      <x:c r="E5" s="53" t="n">
        <x:f>'06_SPRZEDAZ_WYKONANIE'!E8*'06_SPRZEDAZ_WYKONANIE'!$E$18/SUM('06_SPRZEDAZ_WYKONANIE'!$E$5:$E$16)</x:f>
        <x:v>307245.7928440611</x:v>
      </x:c>
      <x:c r="F5" s="53" t="n">
        <x:f>'06_SPRZEDAZ_WYKONANIE'!E9*'06_SPRZEDAZ_WYKONANIE'!$E$18/SUM('06_SPRZEDAZ_WYKONANIE'!$E$5:$E$16)</x:f>
        <x:v>257497.65226558468</x:v>
      </x:c>
      <x:c r="G5" s="53" t="n">
        <x:f>'06_SPRZEDAZ_WYKONANIE'!E10*'06_SPRZEDAZ_WYKONANIE'!$E$18/SUM('06_SPRZEDAZ_WYKONANIE'!$E$5:$E$16)</x:f>
        <x:v>301184.3040450754</x:v>
      </x:c>
      <x:c r="H5" s="53" t="n">
        <x:f>'06_SPRZEDAZ_WYKONANIE'!E11*'06_SPRZEDAZ_WYKONANIE'!$E$18/SUM('06_SPRZEDAZ_WYKONANIE'!$E$5:$E$16)</x:f>
        <x:v>327016.13833504135</x:v>
      </x:c>
      <x:c r="I5" s="53" t="n">
        <x:f>'06_SPRZEDAZ_WYKONANIE'!E12*'06_SPRZEDAZ_WYKONANIE'!$E$18/SUM('06_SPRZEDAZ_WYKONANIE'!$E$5:$E$16)</x:f>
        <x:v>297469.67117108754</x:v>
      </x:c>
      <x:c r="J5" s="53" t="n">
        <x:f>'06_SPRZEDAZ_WYKONANIE'!E13*'06_SPRZEDAZ_WYKONANIE'!$E$18/SUM('06_SPRZEDAZ_WYKONANIE'!$E$5:$E$16)</x:f>
        <x:v>344106.44379843114</x:v>
      </x:c>
      <x:c r="K5" s="53" t="n">
        <x:f>'06_SPRZEDAZ_WYKONANIE'!E14*'06_SPRZEDAZ_WYKONANIE'!$E$18/SUM('06_SPRZEDAZ_WYKONANIE'!$E$5:$E$16)</x:f>
        <x:v>286719.78111235256</x:v>
      </x:c>
      <x:c r="L5" s="53" t="n">
        <x:f>'06_SPRZEDAZ_WYKONANIE'!E15*'06_SPRZEDAZ_WYKONANIE'!$E$18/SUM('06_SPRZEDAZ_WYKONANIE'!$E$5:$E$16)</x:f>
        <x:v>297791.4182789183</x:v>
      </x:c>
      <x:c r="M5" s="53" t="n">
        <x:f>'06_SPRZEDAZ_WYKONANIE'!E16*'06_SPRZEDAZ_WYKONANIE'!$E$18/SUM('06_SPRZEDAZ_WYKONANIE'!$E$5:$E$16)</x:f>
        <x:v>218511.60582044796</x:v>
      </x:c>
      <x:c r="N5" s="53" t="n">
        <x:f>SUM(B5:M5)</x:f>
        <x:v>3422583.4703734913</x:v>
      </x:c>
    </x:row>
    <x:row r="6">
      <x:c r="A6" s="27" t="str">
        <x:v>Liczba zamówień</x:v>
      </x:c>
      <x:c r="B6" s="66" t="n">
        <x:f>'04_ZRODLO_KANALY'!$I$9*B5/'06_SPRZEDAZ_WYKONANIE'!$E$18</x:f>
        <x:v>94.33321310318343</x:v>
      </x:c>
      <x:c r="C6" s="66" t="n">
        <x:f>'04_ZRODLO_KANALY'!$I$9*C5/'06_SPRZEDAZ_WYKONANIE'!$E$18</x:f>
        <x:v>104.90767333510334</x:v>
      </x:c>
      <x:c r="D6" s="66" t="n">
        <x:f>'04_ZRODLO_KANALY'!$I$9*D5/'06_SPRZEDAZ_WYKONANIE'!$E$18</x:f>
        <x:v>89.5369338538741</x:v>
      </x:c>
      <x:c r="E6" s="66" t="n">
        <x:f>'04_ZRODLO_KANALY'!$I$9*E5/'06_SPRZEDAZ_WYKONANIE'!$E$18</x:f>
        <x:v>113.02060462194098</x:v>
      </x:c>
      <x:c r="F6" s="66" t="n">
        <x:f>'04_ZRODLO_KANALY'!$I$9*F5/'06_SPRZEDAZ_WYKONANIE'!$E$18</x:f>
        <x:v>94.72071229485421</x:v>
      </x:c>
      <x:c r="G6" s="66" t="n">
        <x:f>'04_ZRODLO_KANALY'!$I$9*G5/'06_SPRZEDAZ_WYKONANIE'!$E$18</x:f>
        <x:v>110.7908812378418</x:v>
      </x:c>
      <x:c r="H6" s="66" t="n">
        <x:f>'04_ZRODLO_KANALY'!$I$9*H5/'06_SPRZEDAZ_WYKONANIE'!$E$18</x:f>
        <x:v>120.29314163633492</x:v>
      </x:c>
      <x:c r="I6" s="66" t="n">
        <x:f>'04_ZRODLO_KANALY'!$I$9*I5/'06_SPRZEDAZ_WYKONANIE'!$E$18</x:f>
        <x:v>109.4244506368548</x:v>
      </x:c>
      <x:c r="J6" s="66" t="n">
        <x:f>'04_ZRODLO_KANALY'!$I$9*J5/'06_SPRZEDAZ_WYKONANIE'!$E$18</x:f>
        <x:v>126.57982383551581</x:v>
      </x:c>
      <x:c r="K6" s="66" t="n">
        <x:f>'04_ZRODLO_KANALY'!$I$9*K5/'06_SPRZEDAZ_WYKONANIE'!$E$18</x:f>
        <x:v>105.47009519129705</x:v>
      </x:c>
      <x:c r="L6" s="66" t="n">
        <x:f>'04_ZRODLO_KANALY'!$I$9*L5/'06_SPRZEDAZ_WYKONANIE'!$E$18</x:f>
        <x:v>109.54280556150904</x:v>
      </x:c>
      <x:c r="M6" s="66" t="n">
        <x:f>'04_ZRODLO_KANALY'!$I$9*M5/'06_SPRZEDAZ_WYKONANIE'!$E$18</x:f>
        <x:v>80.37966469169059</x:v>
      </x:c>
      <x:c r="N6" s="66" t="n">
        <x:f>SUM(B6:M6)</x:f>
        <x:v>1259</x:v>
      </x:c>
    </x:row>
    <x:row r="7">
      <x:c r="A7" s="24" t="str">
        <x:v>Marketing</x:v>
      </x:c>
      <x:c r="B7" s="53" t="n">
        <x:f>B5*'01_ZALOZENIA'!$E$26</x:f>
        <x:v>9231.992574638856</x:v>
      </x:c>
      <x:c r="C7" s="53" t="n">
        <x:f>C5*'01_ZALOZENIA'!$E$26</x:f>
        <x:v>10266.870271798565</x:v>
      </x:c>
      <x:c r="D7" s="53" t="n">
        <x:f>D5*'01_ZALOZENIA'!$E$26</x:f>
        <x:v>8762.601010852253</x:v>
      </x:c>
      <x:c r="E7" s="53" t="n">
        <x:f>E5*'01_ZALOZENIA'!$E$26</x:f>
        <x:v>11060.848542386198</x:v>
      </x:c>
      <x:c r="F7" s="53" t="n">
        <x:f>F5*'01_ZALOZENIA'!$E$26</x:f>
        <x:v>9269.915481561047</x:v>
      </x:c>
      <x:c r="G7" s="53" t="n">
        <x:f>G5*'01_ZALOZENIA'!$E$26</x:f>
        <x:v>10842.634945622713</x:v>
      </x:c>
      <x:c r="H7" s="53" t="n">
        <x:f>H5*'01_ZALOZENIA'!$E$26</x:f>
        <x:v>11772.580980061488</x:v>
      </x:c>
      <x:c r="I7" s="53" t="n">
        <x:f>I5*'01_ZALOZENIA'!$E$26</x:f>
        <x:v>10708.90816215915</x:v>
      </x:c>
      <x:c r="J7" s="53" t="n">
        <x:f>J5*'01_ZALOZENIA'!$E$26</x:f>
        <x:v>12387.83197674352</x:v>
      </x:c>
      <x:c r="K7" s="53" t="n">
        <x:f>K5*'01_ZALOZENIA'!$E$26</x:f>
        <x:v>10321.912120044692</x:v>
      </x:c>
      <x:c r="L7" s="53" t="n">
        <x:f>L5*'01_ZALOZENIA'!$E$26</x:f>
        <x:v>10720.491058041058</x:v>
      </x:c>
      <x:c r="M7" s="53" t="n">
        <x:f>M5*'01_ZALOZENIA'!$E$26</x:f>
        <x:v>7866.417809536126</x:v>
      </x:c>
      <x:c r="N7" s="53" t="n">
        <x:f>SUM(B7:M7)</x:f>
        <x:v>123213.00493344566</x:v>
      </x:c>
    </x:row>
    <x:row r="8">
      <x:c r="A8" s="27" t="str">
        <x:v>Wynagrodzenia</x:v>
      </x:c>
      <x:c r="B8" s="51" t="n">
        <x:f>'16_ZATRUDNIENIE'!B32</x:f>
        <x:v>43920</x:v>
      </x:c>
      <x:c r="C8" s="51" t="n">
        <x:f>'16_ZATRUDNIENIE'!C32</x:f>
        <x:v>43920</x:v>
      </x:c>
      <x:c r="D8" s="51" t="n">
        <x:f>'16_ZATRUDNIENIE'!D32</x:f>
        <x:v>43920</x:v>
      </x:c>
      <x:c r="E8" s="51" t="n">
        <x:f>'16_ZATRUDNIENIE'!E32</x:f>
        <x:v>43920</x:v>
      </x:c>
      <x:c r="F8" s="51" t="n">
        <x:f>'16_ZATRUDNIENIE'!F32</x:f>
        <x:v>43920</x:v>
      </x:c>
      <x:c r="G8" s="51" t="n">
        <x:f>'16_ZATRUDNIENIE'!G32</x:f>
        <x:v>43920</x:v>
      </x:c>
      <x:c r="H8" s="51" t="n">
        <x:f>'16_ZATRUDNIENIE'!H32</x:f>
        <x:v>43920</x:v>
      </x:c>
      <x:c r="I8" s="51" t="n">
        <x:f>'16_ZATRUDNIENIE'!I32</x:f>
        <x:v>43920</x:v>
      </x:c>
      <x:c r="J8" s="51" t="n">
        <x:f>'16_ZATRUDNIENIE'!J32</x:f>
        <x:v>43920</x:v>
      </x:c>
      <x:c r="K8" s="51" t="n">
        <x:f>'16_ZATRUDNIENIE'!K32</x:f>
        <x:v>43920</x:v>
      </x:c>
      <x:c r="L8" s="51" t="n">
        <x:f>'16_ZATRUDNIENIE'!L32</x:f>
        <x:v>43920</x:v>
      </x:c>
      <x:c r="M8" s="51" t="n">
        <x:f>'16_ZATRUDNIENIE'!M32</x:f>
        <x:v>43920</x:v>
      </x:c>
      <x:c r="N8" s="51" t="n">
        <x:f>SUM(B8:M8)</x:f>
        <x:v>527040</x:v>
      </x:c>
    </x:row>
    <x:row r="9">
      <x:c r="A9" s="24" t="str">
        <x:v>Logistyka</x:v>
      </x:c>
      <x:c r="B9" s="53" t="n">
        <x:f>B6*'01_ZALOZENIA'!$E$27</x:f>
        <x:v>1603.6646227541182</x:v>
      </x:c>
      <x:c r="C9" s="53" t="n">
        <x:f>C6*'01_ZALOZENIA'!$E$27</x:f>
        <x:v>1783.4304466967567</x:v>
      </x:c>
      <x:c r="D9" s="53" t="n">
        <x:f>D6*'01_ZALOZENIA'!$E$27</x:f>
        <x:v>1522.1278755158598</x:v>
      </x:c>
      <x:c r="E9" s="53" t="n">
        <x:f>E6*'01_ZALOZENIA'!$E$27</x:f>
        <x:v>1921.3502785729966</x:v>
      </x:c>
      <x:c r="F9" s="53" t="n">
        <x:f>F6*'01_ZALOZENIA'!$E$27</x:f>
        <x:v>1610.2521090125215</x:v>
      </x:c>
      <x:c r="G9" s="53" t="n">
        <x:f>G6*'01_ZALOZENIA'!$E$27</x:f>
        <x:v>1883.4449810433107</x:v>
      </x:c>
      <x:c r="H9" s="53" t="n">
        <x:f>H6*'01_ZALOZENIA'!$E$27</x:f>
        <x:v>2044.9834078176937</x:v>
      </x:c>
      <x:c r="I9" s="53" t="n">
        <x:f>I6*'01_ZALOZENIA'!$E$27</x:f>
        <x:v>1860.2156608265316</x:v>
      </x:c>
      <x:c r="J9" s="53" t="n">
        <x:f>J6*'01_ZALOZENIA'!$E$27</x:f>
        <x:v>2151.857005203769</x:v>
      </x:c>
      <x:c r="K9" s="53" t="n">
        <x:f>K6*'01_ZALOZENIA'!$E$27</x:f>
        <x:v>1792.9916182520499</x:v>
      </x:c>
      <x:c r="L9" s="53" t="n">
        <x:f>L6*'01_ZALOZENIA'!$E$27</x:f>
        <x:v>1862.2276945456538</x:v>
      </x:c>
      <x:c r="M9" s="53" t="n">
        <x:f>M6*'01_ZALOZENIA'!$E$27</x:f>
        <x:v>1366.45429975874</x:v>
      </x:c>
      <x:c r="N9" s="53" t="n">
        <x:f>SUM(B9:M9)</x:f>
        <x:v>21403.000000000004</x:v>
      </x:c>
    </x:row>
    <x:row r="10">
      <x:c r="A10" s="27" t="str">
        <x:v>Czynsz i media</x:v>
      </x:c>
      <x:c r="B10" s="51" t="n">
        <x:f>'01_ZALOZENIA'!$E$28</x:f>
        <x:v>15000</x:v>
      </x:c>
      <x:c r="C10" s="51" t="n">
        <x:f>'01_ZALOZENIA'!$E$28</x:f>
        <x:v>15000</x:v>
      </x:c>
      <x:c r="D10" s="51" t="n">
        <x:f>'01_ZALOZENIA'!$E$28</x:f>
        <x:v>15000</x:v>
      </x:c>
      <x:c r="E10" s="51" t="n">
        <x:f>'01_ZALOZENIA'!$E$28</x:f>
        <x:v>15000</x:v>
      </x:c>
      <x:c r="F10" s="51" t="n">
        <x:f>'01_ZALOZENIA'!$E$28</x:f>
        <x:v>15000</x:v>
      </x:c>
      <x:c r="G10" s="51" t="n">
        <x:f>'01_ZALOZENIA'!$E$28</x:f>
        <x:v>15000</x:v>
      </x:c>
      <x:c r="H10" s="51" t="n">
        <x:f>'01_ZALOZENIA'!$E$28</x:f>
        <x:v>15000</x:v>
      </x:c>
      <x:c r="I10" s="51" t="n">
        <x:f>'01_ZALOZENIA'!$E$28</x:f>
        <x:v>15000</x:v>
      </x:c>
      <x:c r="J10" s="51" t="n">
        <x:f>'01_ZALOZENIA'!$E$28</x:f>
        <x:v>15000</x:v>
      </x:c>
      <x:c r="K10" s="51" t="n">
        <x:f>'01_ZALOZENIA'!$E$28</x:f>
        <x:v>15000</x:v>
      </x:c>
      <x:c r="L10" s="51" t="n">
        <x:f>'01_ZALOZENIA'!$E$28</x:f>
        <x:v>15000</x:v>
      </x:c>
      <x:c r="M10" s="51" t="n">
        <x:f>'01_ZALOZENIA'!$E$28</x:f>
        <x:v>15000</x:v>
      </x:c>
      <x:c r="N10" s="51" t="n">
        <x:f>SUM(B10:M10)</x:f>
        <x:v>180000</x:v>
      </x:c>
    </x:row>
    <x:row r="11">
      <x:c r="A11" s="24" t="str">
        <x:v>IT</x:v>
      </x:c>
      <x:c r="B11" s="53" t="n">
        <x:f>'01_ZALOZENIA'!$E$29</x:f>
        <x:v>5500</x:v>
      </x:c>
      <x:c r="C11" s="53" t="n">
        <x:f>'01_ZALOZENIA'!$E$29</x:f>
        <x:v>5500</x:v>
      </x:c>
      <x:c r="D11" s="53" t="n">
        <x:f>'01_ZALOZENIA'!$E$29</x:f>
        <x:v>5500</x:v>
      </x:c>
      <x:c r="E11" s="53" t="n">
        <x:f>'01_ZALOZENIA'!$E$29</x:f>
        <x:v>5500</x:v>
      </x:c>
      <x:c r="F11" s="53" t="n">
        <x:f>'01_ZALOZENIA'!$E$29</x:f>
        <x:v>5500</x:v>
      </x:c>
      <x:c r="G11" s="53" t="n">
        <x:f>'01_ZALOZENIA'!$E$29</x:f>
        <x:v>5500</x:v>
      </x:c>
      <x:c r="H11" s="53" t="n">
        <x:f>'01_ZALOZENIA'!$E$29</x:f>
        <x:v>5500</x:v>
      </x:c>
      <x:c r="I11" s="53" t="n">
        <x:f>'01_ZALOZENIA'!$E$29</x:f>
        <x:v>5500</x:v>
      </x:c>
      <x:c r="J11" s="53" t="n">
        <x:f>'01_ZALOZENIA'!$E$29</x:f>
        <x:v>5500</x:v>
      </x:c>
      <x:c r="K11" s="53" t="n">
        <x:f>'01_ZALOZENIA'!$E$29</x:f>
        <x:v>5500</x:v>
      </x:c>
      <x:c r="L11" s="53" t="n">
        <x:f>'01_ZALOZENIA'!$E$29</x:f>
        <x:v>5500</x:v>
      </x:c>
      <x:c r="M11" s="53" t="n">
        <x:f>'01_ZALOZENIA'!$E$29</x:f>
        <x:v>5500</x:v>
      </x:c>
      <x:c r="N11" s="53" t="n">
        <x:f>SUM(B11:M11)</x:f>
        <x:v>66000</x:v>
      </x:c>
    </x:row>
    <x:row r="12">
      <x:c r="A12" s="27" t="str">
        <x:v>Usługi profesjonalne</x:v>
      </x:c>
      <x:c r="B12" s="51" t="n">
        <x:f>'01_ZALOZENIA'!$E$30</x:f>
        <x:v>2500</x:v>
      </x:c>
      <x:c r="C12" s="51" t="n">
        <x:f>'01_ZALOZENIA'!$E$30</x:f>
        <x:v>2500</x:v>
      </x:c>
      <x:c r="D12" s="51" t="n">
        <x:f>'01_ZALOZENIA'!$E$30</x:f>
        <x:v>2500</x:v>
      </x:c>
      <x:c r="E12" s="51" t="n">
        <x:f>'01_ZALOZENIA'!$E$30</x:f>
        <x:v>2500</x:v>
      </x:c>
      <x:c r="F12" s="51" t="n">
        <x:f>'01_ZALOZENIA'!$E$30</x:f>
        <x:v>2500</x:v>
      </x:c>
      <x:c r="G12" s="51" t="n">
        <x:f>'01_ZALOZENIA'!$E$30</x:f>
        <x:v>2500</x:v>
      </x:c>
      <x:c r="H12" s="51" t="n">
        <x:f>'01_ZALOZENIA'!$E$30</x:f>
        <x:v>2500</x:v>
      </x:c>
      <x:c r="I12" s="51" t="n">
        <x:f>'01_ZALOZENIA'!$E$30</x:f>
        <x:v>2500</x:v>
      </x:c>
      <x:c r="J12" s="51" t="n">
        <x:f>'01_ZALOZENIA'!$E$30</x:f>
        <x:v>2500</x:v>
      </x:c>
      <x:c r="K12" s="51" t="n">
        <x:f>'01_ZALOZENIA'!$E$30</x:f>
        <x:v>2500</x:v>
      </x:c>
      <x:c r="L12" s="51" t="n">
        <x:f>'01_ZALOZENIA'!$E$30</x:f>
        <x:v>2500</x:v>
      </x:c>
      <x:c r="M12" s="51" t="n">
        <x:f>'01_ZALOZENIA'!$E$30</x:f>
        <x:v>2500</x:v>
      </x:c>
      <x:c r="N12" s="51" t="n">
        <x:f>SUM(B12:M12)</x:f>
        <x:v>30000</x:v>
      </x:c>
    </x:row>
    <x:row r="13">
      <x:c r="A13" s="24" t="str">
        <x:v>Podróże</x:v>
      </x:c>
      <x:c r="B13" s="53" t="n">
        <x:f>'01_ZALOZENIA'!$E$31</x:f>
        <x:v>1200</x:v>
      </x:c>
      <x:c r="C13" s="53" t="n">
        <x:f>'01_ZALOZENIA'!$E$31</x:f>
        <x:v>1200</x:v>
      </x:c>
      <x:c r="D13" s="53" t="n">
        <x:f>'01_ZALOZENIA'!$E$31</x:f>
        <x:v>1200</x:v>
      </x:c>
      <x:c r="E13" s="53" t="n">
        <x:f>'01_ZALOZENIA'!$E$31</x:f>
        <x:v>1200</x:v>
      </x:c>
      <x:c r="F13" s="53" t="n">
        <x:f>'01_ZALOZENIA'!$E$31</x:f>
        <x:v>1200</x:v>
      </x:c>
      <x:c r="G13" s="53" t="n">
        <x:f>'01_ZALOZENIA'!$E$31</x:f>
        <x:v>1200</x:v>
      </x:c>
      <x:c r="H13" s="53" t="n">
        <x:f>'01_ZALOZENIA'!$E$31</x:f>
        <x:v>1200</x:v>
      </x:c>
      <x:c r="I13" s="53" t="n">
        <x:f>'01_ZALOZENIA'!$E$31</x:f>
        <x:v>1200</x:v>
      </x:c>
      <x:c r="J13" s="53" t="n">
        <x:f>'01_ZALOZENIA'!$E$31</x:f>
        <x:v>1200</x:v>
      </x:c>
      <x:c r="K13" s="53" t="n">
        <x:f>'01_ZALOZENIA'!$E$31</x:f>
        <x:v>1200</x:v>
      </x:c>
      <x:c r="L13" s="53" t="n">
        <x:f>'01_ZALOZENIA'!$E$31</x:f>
        <x:v>1200</x:v>
      </x:c>
      <x:c r="M13" s="53" t="n">
        <x:f>'01_ZALOZENIA'!$E$31</x:f>
        <x:v>1200</x:v>
      </x:c>
      <x:c r="N13" s="53" t="n">
        <x:f>SUM(B13:M13)</x:f>
        <x:v>14400</x:v>
      </x:c>
    </x:row>
    <x:row r="14">
      <x:c r="A14" s="27" t="str">
        <x:v>Pozostały OPEX</x:v>
      </x:c>
      <x:c r="B14" s="51" t="n">
        <x:f>'01_ZALOZENIA'!$E$32</x:f>
        <x:v>1800</x:v>
      </x:c>
      <x:c r="C14" s="51" t="n">
        <x:f>'01_ZALOZENIA'!$E$32</x:f>
        <x:v>1800</x:v>
      </x:c>
      <x:c r="D14" s="51" t="n">
        <x:f>'01_ZALOZENIA'!$E$32</x:f>
        <x:v>1800</x:v>
      </x:c>
      <x:c r="E14" s="51" t="n">
        <x:f>'01_ZALOZENIA'!$E$32</x:f>
        <x:v>1800</x:v>
      </x:c>
      <x:c r="F14" s="51" t="n">
        <x:f>'01_ZALOZENIA'!$E$32</x:f>
        <x:v>1800</x:v>
      </x:c>
      <x:c r="G14" s="51" t="n">
        <x:f>'01_ZALOZENIA'!$E$32</x:f>
        <x:v>1800</x:v>
      </x:c>
      <x:c r="H14" s="51" t="n">
        <x:f>'01_ZALOZENIA'!$E$32</x:f>
        <x:v>1800</x:v>
      </x:c>
      <x:c r="I14" s="51" t="n">
        <x:f>'01_ZALOZENIA'!$E$32</x:f>
        <x:v>1800</x:v>
      </x:c>
      <x:c r="J14" s="51" t="n">
        <x:f>'01_ZALOZENIA'!$E$32</x:f>
        <x:v>1800</x:v>
      </x:c>
      <x:c r="K14" s="51" t="n">
        <x:f>'01_ZALOZENIA'!$E$32</x:f>
        <x:v>1800</x:v>
      </x:c>
      <x:c r="L14" s="51" t="n">
        <x:f>'01_ZALOZENIA'!$E$32</x:f>
        <x:v>1800</x:v>
      </x:c>
      <x:c r="M14" s="51" t="n">
        <x:f>'01_ZALOZENIA'!$E$32</x:f>
        <x:v>1800</x:v>
      </x:c>
      <x:c r="N14" s="51" t="n">
        <x:f>SUM(B14:M14)</x:f>
        <x:v>21600</x:v>
      </x:c>
    </x:row>
    <x:row r="15">
      <x:c r="A15" s="219" t="str">
        <x:v>OPEX razem</x:v>
      </x:c>
      <x:c r="B15" s="220" t="n">
        <x:f>SUM(B7:B14)</x:f>
        <x:v>80755.65719739298</x:v>
      </x:c>
      <x:c r="C15" s="220" t="n">
        <x:f>SUM(C7:C14)</x:f>
        <x:v>81970.30071849533</x:v>
      </x:c>
      <x:c r="D15" s="220" t="n">
        <x:f>SUM(D7:D14)</x:f>
        <x:v>80204.7288863681</x:v>
      </x:c>
      <x:c r="E15" s="220" t="n">
        <x:f>SUM(E7:E14)</x:f>
        <x:v>82902.1988209592</x:v>
      </x:c>
      <x:c r="F15" s="220" t="n">
        <x:f>SUM(F7:F14)</x:f>
        <x:v>80800.16759057358</x:v>
      </x:c>
      <x:c r="G15" s="220" t="n">
        <x:f>SUM(G7:G14)</x:f>
        <x:v>82646.07992666602</x:v>
      </x:c>
      <x:c r="H15" s="220" t="n">
        <x:f>SUM(H7:H14)</x:f>
        <x:v>83737.56438787919</x:v>
      </x:c>
      <x:c r="I15" s="220" t="n">
        <x:f>SUM(I7:I14)</x:f>
        <x:v>82489.12382298568</x:v>
      </x:c>
      <x:c r="J15" s="220" t="n">
        <x:f>SUM(J7:J14)</x:f>
        <x:v>84459.68898194729</x:v>
      </x:c>
      <x:c r="K15" s="220" t="n">
        <x:f>SUM(K7:K14)</x:f>
        <x:v>82034.90373829674</x:v>
      </x:c>
      <x:c r="L15" s="220" t="n">
        <x:f>SUM(L7:L14)</x:f>
        <x:v>82502.71875258672</x:v>
      </x:c>
      <x:c r="M15" s="220" t="n">
        <x:f>SUM(M7:M14)</x:f>
        <x:v>79152.87210929487</x:v>
      </x:c>
      <x:c r="N15" s="220" t="n">
        <x:f>SUM(B15:M15)</x:f>
        <x:v>983656.0049334456</x:v>
      </x:c>
    </x:row>
    <x:row r="16">
      <x:c r="A16" s="210"/>
      <x:c r="B16" s="210"/>
      <x:c r="C16" s="210"/>
      <x:c r="D16" s="210"/>
      <x:c r="E16" s="210"/>
      <x:c r="F16" s="210"/>
      <x:c r="G16" s="210"/>
      <x:c r="H16" s="210"/>
      <x:c r="I16" s="210"/>
      <x:c r="J16" s="210"/>
      <x:c r="K16" s="210"/>
      <x:c r="L16" s="210"/>
      <x:c r="M16" s="210"/>
      <x:c r="N16" s="210"/>
    </x:row>
    <x:row r="17">
      <x:c r="A17" s="210"/>
      <x:c r="B17" s="210"/>
      <x:c r="C17" s="210"/>
      <x:c r="D17" s="210"/>
      <x:c r="E17" s="210"/>
      <x:c r="F17" s="210"/>
      <x:c r="G17" s="210"/>
      <x:c r="H17" s="210"/>
      <x:c r="I17" s="210"/>
      <x:c r="J17" s="210"/>
      <x:c r="K17" s="210"/>
      <x:c r="L17" s="210"/>
      <x:c r="M17" s="210"/>
      <x:c r="N17" s="210"/>
    </x:row>
    <x:row r="18" ht="23" customHeight="1">
      <x:c r="A18" s="16" t="str">
        <x:v>Plan kosztów operacyjnych 2026</x:v>
      </x:c>
      <x:c r="B18" s="16" t="str">
        <x:v>Plan kosztów operacyjnych 2026</x:v>
      </x:c>
      <x:c r="C18" s="16" t="str">
        <x:v>Plan kosztów operacyjnych 2026</x:v>
      </x:c>
      <x:c r="D18" s="16" t="str">
        <x:v>Plan kosztów operacyjnych 2026</x:v>
      </x:c>
      <x:c r="E18" s="16" t="str">
        <x:v>Plan kosztów operacyjnych 2026</x:v>
      </x:c>
      <x:c r="F18" s="16" t="str">
        <x:v>Plan kosztów operacyjnych 2026</x:v>
      </x:c>
      <x:c r="G18" s="16" t="str">
        <x:v>Plan kosztów operacyjnych 2026</x:v>
      </x:c>
      <x:c r="H18" s="16" t="str">
        <x:v>Plan kosztów operacyjnych 2026</x:v>
      </x:c>
      <x:c r="I18" s="16" t="str">
        <x:v>Plan kosztów operacyjnych 2026</x:v>
      </x:c>
      <x:c r="J18" s="16" t="str">
        <x:v>Plan kosztów operacyjnych 2026</x:v>
      </x:c>
      <x:c r="K18" s="16" t="str">
        <x:v>Plan kosztów operacyjnych 2026</x:v>
      </x:c>
      <x:c r="L18" s="16" t="str">
        <x:v>Plan kosztów operacyjnych 2026</x:v>
      </x:c>
      <x:c r="M18" s="16" t="str">
        <x:v>Plan kosztów operacyjnych 2026</x:v>
      </x:c>
      <x:c r="N18" s="16" t="str">
        <x:v>Plan kosztów operacyjnych 2026</x:v>
      </x:c>
    </x:row>
    <x:row r="19" ht="32" customHeight="1">
      <x:c r="A19" s="21" t="str">
        <x:v>Pozycja</x:v>
      </x:c>
      <x:c r="B19" s="80" t="n">
        <x:v>46023</x:v>
      </x:c>
      <x:c r="C19" s="80" t="n">
        <x:v>46054</x:v>
      </x:c>
      <x:c r="D19" s="80" t="n">
        <x:v>46082</x:v>
      </x:c>
      <x:c r="E19" s="80" t="n">
        <x:v>46113</x:v>
      </x:c>
      <x:c r="F19" s="80" t="n">
        <x:v>46143</x:v>
      </x:c>
      <x:c r="G19" s="80" t="n">
        <x:v>46174</x:v>
      </x:c>
      <x:c r="H19" s="80" t="n">
        <x:v>46204</x:v>
      </x:c>
      <x:c r="I19" s="80" t="n">
        <x:v>46235</x:v>
      </x:c>
      <x:c r="J19" s="80" t="n">
        <x:v>46266</x:v>
      </x:c>
      <x:c r="K19" s="80" t="n">
        <x:v>46296</x:v>
      </x:c>
      <x:c r="L19" s="80" t="n">
        <x:v>46327</x:v>
      </x:c>
      <x:c r="M19" s="80" t="n">
        <x:v>46357</x:v>
      </x:c>
      <x:c r="N19" s="21" t="str">
        <x:v>Razem</x:v>
      </x:c>
    </x:row>
    <x:row r="20">
      <x:c r="A20" s="24" t="str">
        <x:v>Przychód netto</x:v>
      </x:c>
      <x:c r="B20" s="53" t="n">
        <x:f>'12_PLAN_2026'!B7</x:f>
        <x:v>274703.0679431429</x:v>
      </x:c>
      <x:c r="C20" s="53" t="n">
        <x:f>'12_PLAN_2026'!C7</x:f>
        <x:v>305496.428754184</x:v>
      </x:c>
      <x:c r="D20" s="53" t="n">
        <x:f>'12_PLAN_2026'!D7</x:f>
        <x:v>260736.06118958152</x:v>
      </x:c>
      <x:c r="E20" s="53" t="n">
        <x:f>'12_PLAN_2026'!E7</x:f>
        <x:v>329121.69329455827</x:v>
      </x:c>
      <x:c r="F20" s="53" t="n">
        <x:f>'12_PLAN_2026'!F7</x:f>
        <x:v>275831.48510689434</x:v>
      </x:c>
      <x:c r="G20" s="53" t="n">
        <x:f>'12_PLAN_2026'!G7</x:f>
        <x:v>322628.62649308477</x:v>
      </x:c>
      <x:c r="H20" s="53" t="n">
        <x:f>'12_PLAN_2026'!H7</x:f>
        <x:v>350299.68738449627</x:v>
      </x:c>
      <x:c r="I20" s="53" t="n">
        <x:f>'12_PLAN_2026'!I7</x:f>
        <x:v>318649.5117584689</x:v>
      </x:c>
      <x:c r="J20" s="53" t="n">
        <x:f>'12_PLAN_2026'!J7</x:f>
        <x:v>368606.8225968795</x:v>
      </x:c>
      <x:c r="K20" s="53" t="n">
        <x:f>'12_PLAN_2026'!K7</x:f>
        <x:v>307134.22952755215</x:v>
      </x:c>
      <x:c r="L20" s="53" t="n">
        <x:f>'12_PLAN_2026'!L7</x:f>
        <x:v>318994.1672603774</x:v>
      </x:c>
      <x:c r="M20" s="53" t="n">
        <x:f>'12_PLAN_2026'!M7</x:f>
        <x:v>234069.6321548639</x:v>
      </x:c>
      <x:c r="N20" s="53" t="n">
        <x:f>SUM(B20:M20)</x:f>
        <x:v>3666271.413464084</x:v>
      </x:c>
    </x:row>
    <x:row r="21">
      <x:c r="A21" s="27" t="str">
        <x:v>Liczba zamówień</x:v>
      </x:c>
      <x:c r="B21" s="66" t="n">
        <x:f>'12_PLAN_2026'!B27</x:f>
        <x:v>97.16320949627892</x:v>
      </x:c>
      <x:c r="C21" s="66" t="n">
        <x:f>'12_PLAN_2026'!C27</x:f>
        <x:v>108.05490353515644</x:v>
      </x:c>
      <x:c r="D21" s="66" t="n">
        <x:f>'12_PLAN_2026'!D27</x:f>
        <x:v>92.22304186949033</x:v>
      </x:c>
      <x:c r="E21" s="66" t="n">
        <x:f>'12_PLAN_2026'!E27</x:f>
        <x:v>116.4112227605992</x:v>
      </x:c>
      <x:c r="F21" s="66" t="n">
        <x:f>'12_PLAN_2026'!F27</x:f>
        <x:v>97.56233366369983</x:v>
      </x:c>
      <x:c r="G21" s="66" t="n">
        <x:f>'12_PLAN_2026'!G27</x:f>
        <x:v>114.11460767497707</x:v>
      </x:c>
      <x:c r="H21" s="66" t="n">
        <x:f>'12_PLAN_2026'!H27</x:f>
        <x:v>123.90193588542498</x:v>
      </x:c>
      <x:c r="I21" s="66" t="n">
        <x:f>'12_PLAN_2026'!I27</x:f>
        <x:v>112.70718415596045</x:v>
      </x:c>
      <x:c r="J21" s="66" t="n">
        <x:f>'12_PLAN_2026'!J27</x:f>
        <x:v>130.3772185505813</x:v>
      </x:c>
      <x:c r="K21" s="66" t="n">
        <x:f>'12_PLAN_2026'!K27</x:f>
        <x:v>108.63419804703597</x:v>
      </x:c>
      <x:c r="L21" s="66" t="n">
        <x:f>'12_PLAN_2026'!L27</x:f>
        <x:v>112.82908972835432</x:v>
      </x:c>
      <x:c r="M21" s="66" t="n">
        <x:f>'12_PLAN_2026'!M27</x:f>
        <x:v>82.79105463244132</x:v>
      </x:c>
      <x:c r="N21" s="66" t="n">
        <x:f>SUM(B21:M21)</x:f>
        <x:v>1296.77</x:v>
      </x:c>
    </x:row>
    <x:row r="22">
      <x:c r="A22" s="24" t="str">
        <x:v>Marketing</x:v>
      </x:c>
      <x:c r="B22" s="53" t="n">
        <x:f>B20*'01_ZALOZENIA'!$E$10</x:f>
        <x:v>10988.122717725717</x:v>
      </x:c>
      <x:c r="C22" s="53" t="n">
        <x:f>C20*'01_ZALOZENIA'!$E$10</x:f>
        <x:v>12219.85715016736</x:v>
      </x:c>
      <x:c r="D22" s="53" t="n">
        <x:f>D20*'01_ZALOZENIA'!$E$10</x:f>
        <x:v>10429.442447583262</x:v>
      </x:c>
      <x:c r="E22" s="53" t="n">
        <x:f>E20*'01_ZALOZENIA'!$E$10</x:f>
        <x:v>13164.867731782331</x:v>
      </x:c>
      <x:c r="F22" s="53" t="n">
        <x:f>F20*'01_ZALOZENIA'!$E$10</x:f>
        <x:v>11033.259404275774</x:v>
      </x:c>
      <x:c r="G22" s="53" t="n">
        <x:f>G20*'01_ZALOZENIA'!$E$10</x:f>
        <x:v>12905.14505972339</x:v>
      </x:c>
      <x:c r="H22" s="53" t="n">
        <x:f>H20*'01_ZALOZENIA'!$E$10</x:f>
        <x:v>14011.987495379852</x:v>
      </x:c>
      <x:c r="I22" s="53" t="n">
        <x:f>I20*'01_ZALOZENIA'!$E$10</x:f>
        <x:v>12745.980470338758</x:v>
      </x:c>
      <x:c r="J22" s="53" t="n">
        <x:f>J20*'01_ZALOZENIA'!$E$10</x:f>
        <x:v>14744.27290387518</x:v>
      </x:c>
      <x:c r="K22" s="53" t="n">
        <x:f>K20*'01_ZALOZENIA'!$E$10</x:f>
        <x:v>12285.369181102085</x:v>
      </x:c>
      <x:c r="L22" s="53" t="n">
        <x:f>L20*'01_ZALOZENIA'!$E$10</x:f>
        <x:v>12759.766690415096</x:v>
      </x:c>
      <x:c r="M22" s="53" t="n">
        <x:f>M20*'01_ZALOZENIA'!$E$10</x:f>
        <x:v>9362.785286194556</x:v>
      </x:c>
      <x:c r="N22" s="53" t="n">
        <x:f>SUM(B22:M22)</x:f>
        <x:v>146650.85653856338</x:v>
      </x:c>
    </x:row>
    <x:row r="23">
      <x:c r="A23" s="27" t="str">
        <x:v>Wynagrodzenia</x:v>
      </x:c>
      <x:c r="B23" s="51" t="n">
        <x:f>'16_ZATRUDNIENIE'!B21</x:f>
        <x:v>46994.4</x:v>
      </x:c>
      <x:c r="C23" s="51" t="n">
        <x:f>'16_ZATRUDNIENIE'!C21</x:f>
        <x:v>46994.4</x:v>
      </x:c>
      <x:c r="D23" s="51" t="n">
        <x:f>'16_ZATRUDNIENIE'!D21</x:f>
        <x:v>46994.4</x:v>
      </x:c>
      <x:c r="E23" s="51" t="n">
        <x:f>'16_ZATRUDNIENIE'!E21</x:f>
        <x:v>46994.4</x:v>
      </x:c>
      <x:c r="F23" s="51" t="n">
        <x:f>'16_ZATRUDNIENIE'!F21</x:f>
        <x:v>46994.4</x:v>
      </x:c>
      <x:c r="G23" s="51" t="n">
        <x:f>'16_ZATRUDNIENIE'!G21</x:f>
        <x:v>46994.4</x:v>
      </x:c>
      <x:c r="H23" s="51" t="n">
        <x:f>'16_ZATRUDNIENIE'!H21</x:f>
        <x:v>49459.68</x:v>
      </x:c>
      <x:c r="I23" s="51" t="n">
        <x:f>'16_ZATRUDNIENIE'!I21</x:f>
        <x:v>49459.68</x:v>
      </x:c>
      <x:c r="J23" s="51" t="n">
        <x:f>'16_ZATRUDNIENIE'!J21</x:f>
        <x:v>51000.48</x:v>
      </x:c>
      <x:c r="K23" s="51" t="n">
        <x:f>'16_ZATRUDNIENIE'!K21</x:f>
        <x:v>52849.44</x:v>
      </x:c>
      <x:c r="L23" s="51" t="n">
        <x:f>'16_ZATRUDNIENIE'!L21</x:f>
        <x:v>52849.44</x:v>
      </x:c>
      <x:c r="M23" s="51" t="n">
        <x:f>'16_ZATRUDNIENIE'!M21</x:f>
        <x:v>52849.44</x:v>
      </x:c>
      <x:c r="N23" s="51" t="n">
        <x:f>SUM(B23:M23)</x:f>
        <x:v>590434.56</x:v>
      </x:c>
    </x:row>
    <x:row r="24">
      <x:c r="A24" s="24" t="str">
        <x:v>Logistyka</x:v>
      </x:c>
      <x:c r="B24" s="53" t="n">
        <x:f>B21*'01_ZALOZENIA'!$E$17</x:f>
        <x:v>1748.9377709330206</x:v>
      </x:c>
      <x:c r="C24" s="53" t="n">
        <x:f>C21*'01_ZALOZENIA'!$E$17</x:f>
        <x:v>1944.988263632816</x:v>
      </x:c>
      <x:c r="D24" s="53" t="n">
        <x:f>D21*'01_ZALOZENIA'!$E$17</x:f>
        <x:v>1660.014753650826</x:v>
      </x:c>
      <x:c r="E24" s="53" t="n">
        <x:f>E21*'01_ZALOZENIA'!$E$17</x:f>
        <x:v>2095.4020096907857</x:v>
      </x:c>
      <x:c r="F24" s="53" t="n">
        <x:f>F21*'01_ZALOZENIA'!$E$17</x:f>
        <x:v>1756.122005946597</x:v>
      </x:c>
      <x:c r="G24" s="53" t="n">
        <x:f>G21*'01_ZALOZENIA'!$E$17</x:f>
        <x:v>2054.0629381495874</x:v>
      </x:c>
      <x:c r="H24" s="53" t="n">
        <x:f>H21*'01_ZALOZENIA'!$E$17</x:f>
        <x:v>2230.2348459376494</x:v>
      </x:c>
      <x:c r="I24" s="53" t="n">
        <x:f>I21*'01_ZALOZENIA'!$E$17</x:f>
        <x:v>2028.7293148072881</x:v>
      </x:c>
      <x:c r="J24" s="53" t="n">
        <x:f>J21*'01_ZALOZENIA'!$E$17</x:f>
        <x:v>2346.7899339104633</x:v>
      </x:c>
      <x:c r="K24" s="53" t="n">
        <x:f>K21*'01_ZALOZENIA'!$E$17</x:f>
        <x:v>1955.4155648466474</x:v>
      </x:c>
      <x:c r="L24" s="53" t="n">
        <x:f>L21*'01_ZALOZENIA'!$E$17</x:f>
        <x:v>2030.9236151103778</x:v>
      </x:c>
      <x:c r="M24" s="53" t="n">
        <x:f>M21*'01_ZALOZENIA'!$E$17</x:f>
        <x:v>1490.2389833839436</x:v>
      </x:c>
      <x:c r="N24" s="53" t="n">
        <x:f>SUM(B24:M24)</x:f>
        <x:v>23341.860000000004</x:v>
      </x:c>
    </x:row>
    <x:row r="25">
      <x:c r="A25" s="27" t="str">
        <x:v>Czynsz i media</x:v>
      </x:c>
      <x:c r="B25" s="51" t="n">
        <x:f>'01_ZALOZENIA'!$E$28*(1+'01_ZALOZENIA'!$E$18)*(1+'01_ZALOZENIA'!$E$22)</x:f>
        <x:v>16222.5</x:v>
      </x:c>
      <x:c r="C25" s="51" t="n">
        <x:f>'01_ZALOZENIA'!$E$28*(1+'01_ZALOZENIA'!$E$18)*(1+'01_ZALOZENIA'!$E$22)</x:f>
        <x:v>16222.5</x:v>
      </x:c>
      <x:c r="D25" s="51" t="n">
        <x:f>'01_ZALOZENIA'!$E$28*(1+'01_ZALOZENIA'!$E$18)*(1+'01_ZALOZENIA'!$E$22)</x:f>
        <x:v>16222.5</x:v>
      </x:c>
      <x:c r="E25" s="51" t="n">
        <x:f>'01_ZALOZENIA'!$E$28*(1+'01_ZALOZENIA'!$E$18)*(1+'01_ZALOZENIA'!$E$22)</x:f>
        <x:v>16222.5</x:v>
      </x:c>
      <x:c r="F25" s="51" t="n">
        <x:f>'01_ZALOZENIA'!$E$28*(1+'01_ZALOZENIA'!$E$18)*(1+'01_ZALOZENIA'!$E$22)</x:f>
        <x:v>16222.5</x:v>
      </x:c>
      <x:c r="G25" s="51" t="n">
        <x:f>'01_ZALOZENIA'!$E$28*(1+'01_ZALOZENIA'!$E$18)*(1+'01_ZALOZENIA'!$E$22)</x:f>
        <x:v>16222.5</x:v>
      </x:c>
      <x:c r="H25" s="51" t="n">
        <x:f>'01_ZALOZENIA'!$E$28*(1+'01_ZALOZENIA'!$E$18)*(1+'01_ZALOZENIA'!$E$22)</x:f>
        <x:v>16222.5</x:v>
      </x:c>
      <x:c r="I25" s="51" t="n">
        <x:f>'01_ZALOZENIA'!$E$28*(1+'01_ZALOZENIA'!$E$18)*(1+'01_ZALOZENIA'!$E$22)</x:f>
        <x:v>16222.5</x:v>
      </x:c>
      <x:c r="J25" s="51" t="n">
        <x:f>'01_ZALOZENIA'!$E$28*(1+'01_ZALOZENIA'!$E$18)*(1+'01_ZALOZENIA'!$E$22)</x:f>
        <x:v>16222.5</x:v>
      </x:c>
      <x:c r="K25" s="51" t="n">
        <x:f>'01_ZALOZENIA'!$E$28*(1+'01_ZALOZENIA'!$E$18)*(1+'01_ZALOZENIA'!$E$22)</x:f>
        <x:v>16222.5</x:v>
      </x:c>
      <x:c r="L25" s="51" t="n">
        <x:f>'01_ZALOZENIA'!$E$28*(1+'01_ZALOZENIA'!$E$18)*(1+'01_ZALOZENIA'!$E$22)</x:f>
        <x:v>16222.5</x:v>
      </x:c>
      <x:c r="M25" s="51" t="n">
        <x:f>'01_ZALOZENIA'!$E$28*(1+'01_ZALOZENIA'!$E$18)*(1+'01_ZALOZENIA'!$E$22)</x:f>
        <x:v>16222.5</x:v>
      </x:c>
      <x:c r="N25" s="51" t="n">
        <x:f>SUM(B25:M25)</x:f>
        <x:v>194670</x:v>
      </x:c>
    </x:row>
    <x:row r="26">
      <x:c r="A26" s="24" t="str">
        <x:v>IT</x:v>
      </x:c>
      <x:c r="B26" s="53" t="n">
        <x:f>'01_ZALOZENIA'!$E$29*(1+'01_ZALOZENIA'!$E$19)*(1+'01_ZALOZENIA'!$E$22)</x:f>
        <x:v>6004.900000000001</x:v>
      </x:c>
      <x:c r="C26" s="53" t="n">
        <x:f>'01_ZALOZENIA'!$E$29*(1+'01_ZALOZENIA'!$E$19)*(1+'01_ZALOZENIA'!$E$22)</x:f>
        <x:v>6004.900000000001</x:v>
      </x:c>
      <x:c r="D26" s="53" t="n">
        <x:f>'01_ZALOZENIA'!$E$29*(1+'01_ZALOZENIA'!$E$19)*(1+'01_ZALOZENIA'!$E$22)</x:f>
        <x:v>6004.900000000001</x:v>
      </x:c>
      <x:c r="E26" s="53" t="n">
        <x:f>'01_ZALOZENIA'!$E$29*(1+'01_ZALOZENIA'!$E$19)*(1+'01_ZALOZENIA'!$E$22)</x:f>
        <x:v>6004.900000000001</x:v>
      </x:c>
      <x:c r="F26" s="53" t="n">
        <x:f>'01_ZALOZENIA'!$E$29*(1+'01_ZALOZENIA'!$E$19)*(1+'01_ZALOZENIA'!$E$22)</x:f>
        <x:v>6004.900000000001</x:v>
      </x:c>
      <x:c r="G26" s="53" t="n">
        <x:f>'01_ZALOZENIA'!$E$29*(1+'01_ZALOZENIA'!$E$19)*(1+'01_ZALOZENIA'!$E$22)</x:f>
        <x:v>6004.900000000001</x:v>
      </x:c>
      <x:c r="H26" s="53" t="n">
        <x:f>'01_ZALOZENIA'!$E$29*(1+'01_ZALOZENIA'!$E$19)*(1+'01_ZALOZENIA'!$E$22)</x:f>
        <x:v>6004.900000000001</x:v>
      </x:c>
      <x:c r="I26" s="53" t="n">
        <x:f>'01_ZALOZENIA'!$E$29*(1+'01_ZALOZENIA'!$E$19)*(1+'01_ZALOZENIA'!$E$22)</x:f>
        <x:v>6004.900000000001</x:v>
      </x:c>
      <x:c r="J26" s="53" t="n">
        <x:f>'01_ZALOZENIA'!$E$29*(1+'01_ZALOZENIA'!$E$19)*(1+'01_ZALOZENIA'!$E$22)</x:f>
        <x:v>6004.900000000001</x:v>
      </x:c>
      <x:c r="K26" s="53" t="n">
        <x:f>'01_ZALOZENIA'!$E$29*(1+'01_ZALOZENIA'!$E$19)*(1+'01_ZALOZENIA'!$E$22)</x:f>
        <x:v>6004.900000000001</x:v>
      </x:c>
      <x:c r="L26" s="53" t="n">
        <x:f>'01_ZALOZENIA'!$E$29*(1+'01_ZALOZENIA'!$E$19)*(1+'01_ZALOZENIA'!$E$22)</x:f>
        <x:v>6004.900000000001</x:v>
      </x:c>
      <x:c r="M26" s="53" t="n">
        <x:f>'01_ZALOZENIA'!$E$29*(1+'01_ZALOZENIA'!$E$19)*(1+'01_ZALOZENIA'!$E$22)</x:f>
        <x:v>6004.900000000001</x:v>
      </x:c>
      <x:c r="N26" s="53" t="n">
        <x:f>SUM(B26:M26)</x:f>
        <x:v>72058.8</x:v>
      </x:c>
    </x:row>
    <x:row r="27">
      <x:c r="A27" s="27" t="str">
        <x:v>Usługi profesjonalne</x:v>
      </x:c>
      <x:c r="B27" s="51" t="n">
        <x:f>'01_ZALOZENIA'!$E$30*(1+'01_ZALOZENIA'!$E$19)*(1+'01_ZALOZENIA'!$E$22)</x:f>
        <x:v>2729.5</x:v>
      </x:c>
      <x:c r="C27" s="51" t="n">
        <x:f>'01_ZALOZENIA'!$E$30*(1+'01_ZALOZENIA'!$E$19)*(1+'01_ZALOZENIA'!$E$22)</x:f>
        <x:v>2729.5</x:v>
      </x:c>
      <x:c r="D27" s="51" t="n">
        <x:f>'01_ZALOZENIA'!$E$30*(1+'01_ZALOZENIA'!$E$19)*(1+'01_ZALOZENIA'!$E$22)</x:f>
        <x:v>2729.5</x:v>
      </x:c>
      <x:c r="E27" s="51" t="n">
        <x:f>'01_ZALOZENIA'!$E$30*(1+'01_ZALOZENIA'!$E$19)*(1+'01_ZALOZENIA'!$E$22)</x:f>
        <x:v>2729.5</x:v>
      </x:c>
      <x:c r="F27" s="51" t="n">
        <x:f>'01_ZALOZENIA'!$E$30*(1+'01_ZALOZENIA'!$E$19)*(1+'01_ZALOZENIA'!$E$22)</x:f>
        <x:v>2729.5</x:v>
      </x:c>
      <x:c r="G27" s="51" t="n">
        <x:f>'01_ZALOZENIA'!$E$30*(1+'01_ZALOZENIA'!$E$19)*(1+'01_ZALOZENIA'!$E$22)</x:f>
        <x:v>2729.5</x:v>
      </x:c>
      <x:c r="H27" s="51" t="n">
        <x:f>'01_ZALOZENIA'!$E$30*(1+'01_ZALOZENIA'!$E$19)*(1+'01_ZALOZENIA'!$E$22)</x:f>
        <x:v>2729.5</x:v>
      </x:c>
      <x:c r="I27" s="51" t="n">
        <x:f>'01_ZALOZENIA'!$E$30*(1+'01_ZALOZENIA'!$E$19)*(1+'01_ZALOZENIA'!$E$22)</x:f>
        <x:v>2729.5</x:v>
      </x:c>
      <x:c r="J27" s="51" t="n">
        <x:f>'01_ZALOZENIA'!$E$30*(1+'01_ZALOZENIA'!$E$19)*(1+'01_ZALOZENIA'!$E$22)</x:f>
        <x:v>2729.5</x:v>
      </x:c>
      <x:c r="K27" s="51" t="n">
        <x:f>'01_ZALOZENIA'!$E$30*(1+'01_ZALOZENIA'!$E$19)*(1+'01_ZALOZENIA'!$E$22)</x:f>
        <x:v>2729.5</x:v>
      </x:c>
      <x:c r="L27" s="51" t="n">
        <x:f>'01_ZALOZENIA'!$E$30*(1+'01_ZALOZENIA'!$E$19)*(1+'01_ZALOZENIA'!$E$22)</x:f>
        <x:v>2729.5</x:v>
      </x:c>
      <x:c r="M27" s="51" t="n">
        <x:f>'01_ZALOZENIA'!$E$30*(1+'01_ZALOZENIA'!$E$19)*(1+'01_ZALOZENIA'!$E$22)</x:f>
        <x:v>2729.5</x:v>
      </x:c>
      <x:c r="N27" s="51" t="n">
        <x:f>SUM(B27:M27)</x:f>
        <x:v>32754</x:v>
      </x:c>
    </x:row>
    <x:row r="28">
      <x:c r="A28" s="24" t="str">
        <x:v>Podróże</x:v>
      </x:c>
      <x:c r="B28" s="53" t="n">
        <x:f>'01_ZALOZENIA'!$E$31*(1+'01_ZALOZENIA'!$E$19)*(1+'01_ZALOZENIA'!$E$22)</x:f>
        <x:v>1310.16</x:v>
      </x:c>
      <x:c r="C28" s="53" t="n">
        <x:f>'01_ZALOZENIA'!$E$31*(1+'01_ZALOZENIA'!$E$19)*(1+'01_ZALOZENIA'!$E$22)</x:f>
        <x:v>1310.16</x:v>
      </x:c>
      <x:c r="D28" s="53" t="n">
        <x:f>'01_ZALOZENIA'!$E$31*(1+'01_ZALOZENIA'!$E$19)*(1+'01_ZALOZENIA'!$E$22)</x:f>
        <x:v>1310.16</x:v>
      </x:c>
      <x:c r="E28" s="53" t="n">
        <x:f>'01_ZALOZENIA'!$E$31*(1+'01_ZALOZENIA'!$E$19)*(1+'01_ZALOZENIA'!$E$22)</x:f>
        <x:v>1310.16</x:v>
      </x:c>
      <x:c r="F28" s="53" t="n">
        <x:f>'01_ZALOZENIA'!$E$31*(1+'01_ZALOZENIA'!$E$19)*(1+'01_ZALOZENIA'!$E$22)</x:f>
        <x:v>1310.16</x:v>
      </x:c>
      <x:c r="G28" s="53" t="n">
        <x:f>'01_ZALOZENIA'!$E$31*(1+'01_ZALOZENIA'!$E$19)*(1+'01_ZALOZENIA'!$E$22)</x:f>
        <x:v>1310.16</x:v>
      </x:c>
      <x:c r="H28" s="53" t="n">
        <x:f>'01_ZALOZENIA'!$E$31*(1+'01_ZALOZENIA'!$E$19)*(1+'01_ZALOZENIA'!$E$22)</x:f>
        <x:v>1310.16</x:v>
      </x:c>
      <x:c r="I28" s="53" t="n">
        <x:f>'01_ZALOZENIA'!$E$31*(1+'01_ZALOZENIA'!$E$19)*(1+'01_ZALOZENIA'!$E$22)</x:f>
        <x:v>1310.16</x:v>
      </x:c>
      <x:c r="J28" s="53" t="n">
        <x:f>'01_ZALOZENIA'!$E$31*(1+'01_ZALOZENIA'!$E$19)*(1+'01_ZALOZENIA'!$E$22)</x:f>
        <x:v>1310.16</x:v>
      </x:c>
      <x:c r="K28" s="53" t="n">
        <x:f>'01_ZALOZENIA'!$E$31*(1+'01_ZALOZENIA'!$E$19)*(1+'01_ZALOZENIA'!$E$22)</x:f>
        <x:v>1310.16</x:v>
      </x:c>
      <x:c r="L28" s="53" t="n">
        <x:f>'01_ZALOZENIA'!$E$31*(1+'01_ZALOZENIA'!$E$19)*(1+'01_ZALOZENIA'!$E$22)</x:f>
        <x:v>1310.16</x:v>
      </x:c>
      <x:c r="M28" s="53" t="n">
        <x:f>'01_ZALOZENIA'!$E$31*(1+'01_ZALOZENIA'!$E$19)*(1+'01_ZALOZENIA'!$E$22)</x:f>
        <x:v>1310.16</x:v>
      </x:c>
      <x:c r="N28" s="53" t="n">
        <x:f>SUM(B28:M28)</x:f>
        <x:v>15721.92</x:v>
      </x:c>
    </x:row>
    <x:row r="29">
      <x:c r="A29" s="27" t="str">
        <x:v>Pozostały OPEX</x:v>
      </x:c>
      <x:c r="B29" s="51" t="n">
        <x:f>'01_ZALOZENIA'!$E$32*(1+'01_ZALOZENIA'!$E$19)*(1+'01_ZALOZENIA'!$E$22)</x:f>
        <x:v>1965.24</x:v>
      </x:c>
      <x:c r="C29" s="51" t="n">
        <x:f>'01_ZALOZENIA'!$E$32*(1+'01_ZALOZENIA'!$E$19)*(1+'01_ZALOZENIA'!$E$22)</x:f>
        <x:v>1965.24</x:v>
      </x:c>
      <x:c r="D29" s="51" t="n">
        <x:f>'01_ZALOZENIA'!$E$32*(1+'01_ZALOZENIA'!$E$19)*(1+'01_ZALOZENIA'!$E$22)</x:f>
        <x:v>1965.24</x:v>
      </x:c>
      <x:c r="E29" s="51" t="n">
        <x:f>'01_ZALOZENIA'!$E$32*(1+'01_ZALOZENIA'!$E$19)*(1+'01_ZALOZENIA'!$E$22)</x:f>
        <x:v>1965.24</x:v>
      </x:c>
      <x:c r="F29" s="51" t="n">
        <x:f>'01_ZALOZENIA'!$E$32*(1+'01_ZALOZENIA'!$E$19)*(1+'01_ZALOZENIA'!$E$22)</x:f>
        <x:v>1965.24</x:v>
      </x:c>
      <x:c r="G29" s="51" t="n">
        <x:f>'01_ZALOZENIA'!$E$32*(1+'01_ZALOZENIA'!$E$19)*(1+'01_ZALOZENIA'!$E$22)</x:f>
        <x:v>1965.24</x:v>
      </x:c>
      <x:c r="H29" s="51" t="n">
        <x:f>'01_ZALOZENIA'!$E$32*(1+'01_ZALOZENIA'!$E$19)*(1+'01_ZALOZENIA'!$E$22)</x:f>
        <x:v>1965.24</x:v>
      </x:c>
      <x:c r="I29" s="51" t="n">
        <x:f>'01_ZALOZENIA'!$E$32*(1+'01_ZALOZENIA'!$E$19)*(1+'01_ZALOZENIA'!$E$22)</x:f>
        <x:v>1965.24</x:v>
      </x:c>
      <x:c r="J29" s="51" t="n">
        <x:f>'01_ZALOZENIA'!$E$32*(1+'01_ZALOZENIA'!$E$19)*(1+'01_ZALOZENIA'!$E$22)</x:f>
        <x:v>1965.24</x:v>
      </x:c>
      <x:c r="K29" s="51" t="n">
        <x:f>'01_ZALOZENIA'!$E$32*(1+'01_ZALOZENIA'!$E$19)*(1+'01_ZALOZENIA'!$E$22)</x:f>
        <x:v>1965.24</x:v>
      </x:c>
      <x:c r="L29" s="51" t="n">
        <x:f>'01_ZALOZENIA'!$E$32*(1+'01_ZALOZENIA'!$E$19)*(1+'01_ZALOZENIA'!$E$22)</x:f>
        <x:v>1965.24</x:v>
      </x:c>
      <x:c r="M29" s="51" t="n">
        <x:f>'01_ZALOZENIA'!$E$32*(1+'01_ZALOZENIA'!$E$19)*(1+'01_ZALOZENIA'!$E$22)</x:f>
        <x:v>1965.24</x:v>
      </x:c>
      <x:c r="N29" s="51" t="n">
        <x:f>SUM(B29:M29)</x:f>
        <x:v>23582.880000000005</x:v>
      </x:c>
    </x:row>
    <x:row r="30">
      <x:c r="A30" s="219" t="str">
        <x:v>OPEX razem</x:v>
      </x:c>
      <x:c r="B30" s="220" t="n">
        <x:f>SUM(B22:B29)</x:f>
        <x:v>87963.76048865875</x:v>
      </x:c>
      <x:c r="C30" s="220" t="n">
        <x:f>SUM(C22:C29)</x:f>
        <x:v>89391.54541380018</x:v>
      </x:c>
      <x:c r="D30" s="220" t="n">
        <x:f>SUM(D22:D29)</x:f>
        <x:v>87316.15720123409</x:v>
      </x:c>
      <x:c r="E30" s="220" t="n">
        <x:f>SUM(E22:E29)</x:f>
        <x:v>90486.96974147312</x:v>
      </x:c>
      <x:c r="F30" s="220" t="n">
        <x:f>SUM(F22:F29)</x:f>
        <x:v>88016.08141022238</x:v>
      </x:c>
      <x:c r="G30" s="220" t="n">
        <x:f>SUM(G22:G29)</x:f>
        <x:v>90185.90799787299</x:v>
      </x:c>
      <x:c r="H30" s="220" t="n">
        <x:f>SUM(H22:H29)</x:f>
        <x:v>93934.2023413175</x:v>
      </x:c>
      <x:c r="I30" s="220" t="n">
        <x:f>SUM(I22:I29)</x:f>
        <x:v>92466.68978514605</x:v>
      </x:c>
      <x:c r="J30" s="220" t="n">
        <x:f>SUM(J22:J29)</x:f>
        <x:v>96323.84283778565</x:v>
      </x:c>
      <x:c r="K30" s="220" t="n">
        <x:f>SUM(K22:K29)</x:f>
        <x:v>95322.52474594873</x:v>
      </x:c>
      <x:c r="L30" s="220" t="n">
        <x:f>SUM(L22:L29)</x:f>
        <x:v>95872.43030552549</x:v>
      </x:c>
      <x:c r="M30" s="220" t="n">
        <x:f>SUM(M22:M29)</x:f>
        <x:v>91934.7642695785</x:v>
      </x:c>
      <x:c r="N30" s="220" t="n">
        <x:f>SUM(B30:M30)</x:f>
        <x:v>1099214.8765385635</x:v>
      </x:c>
    </x:row>
    <x:row r="31">
      <x:c r="A31" s="210"/>
      <x:c r="B31" s="210"/>
      <x:c r="C31" s="210"/>
      <x:c r="D31" s="210"/>
      <x:c r="E31" s="210"/>
      <x:c r="F31" s="210"/>
      <x:c r="G31" s="210"/>
      <x:c r="H31" s="210"/>
      <x:c r="I31" s="210"/>
      <x:c r="J31" s="210"/>
      <x:c r="K31" s="210"/>
      <x:c r="L31" s="210"/>
      <x:c r="M31" s="210"/>
      <x:c r="N31" s="210"/>
    </x:row>
    <x:row r="32" ht="35" customHeight="1">
      <x:c r="A32" s="38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B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C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D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E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F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G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H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I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J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K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L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M32" s="39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  <x:c r="N32" s="40" t="str">
        <x:v>Kwota poza osią miesięczną nie jest pomijana: została rozłożona na OPEX według rzeczywistego profilu 12 miesięcy. Liczba zamówień jest alokowana tym samym kluczem, ponieważ źródło udostępnia ją tylko w przekroju kanału. To alokacja controllingowa, nie syntetyczne rekordy sprzedaży.</x:v>
      </x:c>
    </x:row>
  </x:sheetData>
  <x:mergeCells>
    <x:mergeCell ref="A1:N1"/>
    <x:mergeCell ref="A2:N2"/>
    <x:mergeCell ref="A18:N18"/>
    <x:mergeCell ref="A32:N3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0" hidden="0" customWidth="1"/>
  </x:cols>
  <x:sheetData>
    <x:row r="1">
      <x:c r="A1" s="216" t="str">
        <x:v>KAPITAŁ OBROTOWY 2026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Należności, zapasy i zobowiązania są liczone metodą dni obrotu. NWC = należności + zapasy − zobowiązania; wzrost NWC zużywa gotówkę.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Pozycja</x:v>
      </x:c>
      <x:c r="B4" s="80" t="n">
        <x:v>46023</x:v>
      </x:c>
      <x:c r="C4" s="80" t="n">
        <x:v>46054</x:v>
      </x:c>
      <x:c r="D4" s="80" t="n">
        <x:v>46082</x:v>
      </x:c>
      <x:c r="E4" s="80" t="n">
        <x:v>46113</x:v>
      </x:c>
      <x:c r="F4" s="80" t="n">
        <x:v>46143</x:v>
      </x:c>
      <x:c r="G4" s="80" t="n">
        <x:v>46174</x:v>
      </x:c>
      <x:c r="H4" s="80" t="n">
        <x:v>46204</x:v>
      </x:c>
      <x:c r="I4" s="80" t="n">
        <x:v>46235</x:v>
      </x:c>
      <x:c r="J4" s="80" t="n">
        <x:v>46266</x:v>
      </x:c>
      <x:c r="K4" s="80" t="n">
        <x:v>46296</x:v>
      </x:c>
      <x:c r="L4" s="80" t="n">
        <x:v>46327</x:v>
      </x:c>
      <x:c r="M4" s="80" t="n">
        <x:v>46357</x:v>
      </x:c>
      <x:c r="N4" s="21" t="str">
        <x:v>FY / grudzień</x:v>
      </x:c>
    </x:row>
    <x:row r="5">
      <x:c r="A5" s="24" t="str">
        <x:v>Przychód netto</x:v>
      </x:c>
      <x:c r="B5" s="53" t="n">
        <x:f>'12_PLAN_2026'!B7</x:f>
        <x:v>274703.0679431429</x:v>
      </x:c>
      <x:c r="C5" s="53" t="n">
        <x:f>'12_PLAN_2026'!C7</x:f>
        <x:v>305496.428754184</x:v>
      </x:c>
      <x:c r="D5" s="53" t="n">
        <x:f>'12_PLAN_2026'!D7</x:f>
        <x:v>260736.06118958152</x:v>
      </x:c>
      <x:c r="E5" s="53" t="n">
        <x:f>'12_PLAN_2026'!E7</x:f>
        <x:v>329121.69329455827</x:v>
      </x:c>
      <x:c r="F5" s="53" t="n">
        <x:f>'12_PLAN_2026'!F7</x:f>
        <x:v>275831.48510689434</x:v>
      </x:c>
      <x:c r="G5" s="53" t="n">
        <x:f>'12_PLAN_2026'!G7</x:f>
        <x:v>322628.62649308477</x:v>
      </x:c>
      <x:c r="H5" s="53" t="n">
        <x:f>'12_PLAN_2026'!H7</x:f>
        <x:v>350299.68738449627</x:v>
      </x:c>
      <x:c r="I5" s="53" t="n">
        <x:f>'12_PLAN_2026'!I7</x:f>
        <x:v>318649.5117584689</x:v>
      </x:c>
      <x:c r="J5" s="53" t="n">
        <x:f>'12_PLAN_2026'!J7</x:f>
        <x:v>368606.8225968795</x:v>
      </x:c>
      <x:c r="K5" s="53" t="n">
        <x:f>'12_PLAN_2026'!K7</x:f>
        <x:v>307134.22952755215</x:v>
      </x:c>
      <x:c r="L5" s="53" t="n">
        <x:f>'12_PLAN_2026'!L7</x:f>
        <x:v>318994.1672603774</x:v>
      </x:c>
      <x:c r="M5" s="53" t="n">
        <x:f>'12_PLAN_2026'!M7</x:f>
        <x:v>234069.6321548639</x:v>
      </x:c>
      <x:c r="N5" s="53" t="n">
        <x:f>SUM(B5:M5)</x:f>
        <x:v>3666271.413464084</x:v>
      </x:c>
    </x:row>
    <x:row r="6">
      <x:c r="A6" s="27" t="str">
        <x:v>KWS</x:v>
      </x:c>
      <x:c r="B6" s="51" t="n">
        <x:f>'12_PLAN_2026'!B8</x:f>
        <x:v>172903.48692481488</x:v>
      </x:c>
      <x:c r="C6" s="51" t="n">
        <x:f>'12_PLAN_2026'!C8</x:f>
        <x:v>192285.43084786175</x:v>
      </x:c>
      <x:c r="D6" s="51" t="n">
        <x:f>'12_PLAN_2026'!D8</x:f>
        <x:v>164112.37953866422</x:v>
      </x:c>
      <x:c r="E6" s="51" t="n">
        <x:f>'12_PLAN_2026'!E8</x:f>
        <x:v>207155.63469792355</x:v>
      </x:c>
      <x:c r="F6" s="51" t="n">
        <x:f>'12_PLAN_2026'!F8</x:f>
        <x:v>173613.7347708957</x:v>
      </x:c>
      <x:c r="G6" s="51" t="n">
        <x:f>'12_PLAN_2026'!G8</x:f>
        <x:v>203068.77138323023</x:v>
      </x:c>
      <x:c r="H6" s="51" t="n">
        <x:f>'12_PLAN_2026'!H8</x:f>
        <x:v>220485.47863319877</x:v>
      </x:c>
      <x:c r="I6" s="51" t="n">
        <x:f>'12_PLAN_2026'!I8</x:f>
        <x:v>200564.23869766382</x:v>
      </x:c>
      <x:c r="J6" s="51" t="n">
        <x:f>'12_PLAN_2026'!J8</x:f>
        <x:v>232008.3478079991</x:v>
      </x:c>
      <x:c r="K6" s="51" t="n">
        <x:f>'12_PLAN_2026'!K8</x:f>
        <x:v>193316.29470651413</x:v>
      </x:c>
      <x:c r="L6" s="51" t="n">
        <x:f>'12_PLAN_2026'!L8</x:f>
        <x:v>200781.17161550114</x:v>
      </x:c>
      <x:c r="M6" s="51" t="n">
        <x:f>'12_PLAN_2026'!M8</x:f>
        <x:v>147328.00724002608</x:v>
      </x:c>
      <x:c r="N6" s="51" t="n">
        <x:f>SUM(B6:M6)</x:f>
        <x:v>2307622.9768642937</x:v>
      </x:c>
    </x:row>
    <x:row r="7">
      <x:c r="A7" s="24" t="str">
        <x:v>Należności</x:v>
      </x:c>
      <x:c r="B7" s="53" t="n">
        <x:f>B5*'01_ZALOZENIA'!$E$12/30</x:f>
        <x:v>320486.9126003334</x:v>
      </x:c>
      <x:c r="C7" s="53" t="n">
        <x:f>C5*'01_ZALOZENIA'!$E$12/30</x:f>
        <x:v>356412.5002132146</x:v>
      </x:c>
      <x:c r="D7" s="53" t="n">
        <x:f>D5*'01_ZALOZENIA'!$E$12/30</x:f>
        <x:v>304192.0713878451</x:v>
      </x:c>
      <x:c r="E7" s="53" t="n">
        <x:f>E5*'01_ZALOZENIA'!$E$12/30</x:f>
        <x:v>383975.30884365126</x:v>
      </x:c>
      <x:c r="F7" s="53" t="n">
        <x:f>F5*'01_ZALOZENIA'!$E$12/30</x:f>
        <x:v>321803.3992913767</x:v>
      </x:c>
      <x:c r="G7" s="53" t="n">
        <x:f>G5*'01_ZALOZENIA'!$E$12/30</x:f>
        <x:v>376400.0642419322</x:v>
      </x:c>
      <x:c r="H7" s="53" t="n">
        <x:f>H5*'01_ZALOZENIA'!$E$12/30</x:f>
        <x:v>408682.96861524566</x:v>
      </x:c>
      <x:c r="I7" s="53" t="n">
        <x:f>I5*'01_ZALOZENIA'!$E$12/30</x:f>
        <x:v>371757.76371821377</x:v>
      </x:c>
      <x:c r="J7" s="53" t="n">
        <x:f>J5*'01_ZALOZENIA'!$E$12/30</x:f>
        <x:v>430041.2930296928</x:v>
      </x:c>
      <x:c r="K7" s="53" t="n">
        <x:f>K5*'01_ZALOZENIA'!$E$12/30</x:f>
        <x:v>358323.2677821442</x:v>
      </x:c>
      <x:c r="L7" s="53" t="n">
        <x:f>L5*'01_ZALOZENIA'!$E$12/30</x:f>
        <x:v>372159.8618037736</x:v>
      </x:c>
      <x:c r="M7" s="53" t="n">
        <x:f>M5*'01_ZALOZENIA'!$E$12/30</x:f>
        <x:v>273081.2375140079</x:v>
      </x:c>
      <x:c r="N7" s="53" t="n">
        <x:f>M7</x:f>
        <x:v>273081.2375140079</x:v>
      </x:c>
    </x:row>
    <x:row r="8">
      <x:c r="A8" s="27" t="str">
        <x:v>Zapasy</x:v>
      </x:c>
      <x:c r="B8" s="51" t="n">
        <x:f>B6*'01_ZALOZENIA'!$E$13/30</x:f>
        <x:v>259355.2303872223</x:v>
      </x:c>
      <x:c r="C8" s="51" t="n">
        <x:f>C6*'01_ZALOZENIA'!$E$13/30</x:f>
        <x:v>288428.1462717926</x:v>
      </x:c>
      <x:c r="D8" s="51" t="n">
        <x:f>D6*'01_ZALOZENIA'!$E$13/30</x:f>
        <x:v>246168.56930799634</x:v>
      </x:c>
      <x:c r="E8" s="51" t="n">
        <x:f>E6*'01_ZALOZENIA'!$E$13/30</x:f>
        <x:v>310733.45204688533</x:v>
      </x:c>
      <x:c r="F8" s="51" t="n">
        <x:f>F6*'01_ZALOZENIA'!$E$13/30</x:f>
        <x:v>260420.60215634355</x:v>
      </x:c>
      <x:c r="G8" s="51" t="n">
        <x:f>G6*'01_ZALOZENIA'!$E$13/30</x:f>
        <x:v>304603.15707484534</x:v>
      </x:c>
      <x:c r="H8" s="51" t="n">
        <x:f>H6*'01_ZALOZENIA'!$E$13/30</x:f>
        <x:v>330728.21794979816</x:v>
      </x:c>
      <x:c r="I8" s="51" t="n">
        <x:f>I6*'01_ZALOZENIA'!$E$13/30</x:f>
        <x:v>300846.3580464957</x:v>
      </x:c>
      <x:c r="J8" s="51" t="n">
        <x:f>J6*'01_ZALOZENIA'!$E$13/30</x:f>
        <x:v>348012.5217119986</x:v>
      </x:c>
      <x:c r="K8" s="51" t="n">
        <x:f>K6*'01_ZALOZENIA'!$E$13/30</x:f>
        <x:v>289974.4420597712</x:v>
      </x:c>
      <x:c r="L8" s="51" t="n">
        <x:f>L6*'01_ZALOZENIA'!$E$13/30</x:f>
        <x:v>301171.7574232517</x:v>
      </x:c>
      <x:c r="M8" s="51" t="n">
        <x:f>M6*'01_ZALOZENIA'!$E$13/30</x:f>
        <x:v>220992.01086003912</x:v>
      </x:c>
      <x:c r="N8" s="51" t="n">
        <x:f>M8</x:f>
        <x:v>220992.01086003912</x:v>
      </x:c>
    </x:row>
    <x:row r="9">
      <x:c r="A9" s="24" t="str">
        <x:v>Zobowiązania</x:v>
      </x:c>
      <x:c r="B9" s="53" t="n">
        <x:f>B6*'01_ZALOZENIA'!$E$14/30</x:f>
        <x:v>172903.48692481488</x:v>
      </x:c>
      <x:c r="C9" s="53" t="n">
        <x:f>C6*'01_ZALOZENIA'!$E$14/30</x:f>
        <x:v>192285.43084786175</x:v>
      </x:c>
      <x:c r="D9" s="53" t="n">
        <x:f>D6*'01_ZALOZENIA'!$E$14/30</x:f>
        <x:v>164112.37953866422</x:v>
      </x:c>
      <x:c r="E9" s="53" t="n">
        <x:f>E6*'01_ZALOZENIA'!$E$14/30</x:f>
        <x:v>207155.63469792355</x:v>
      </x:c>
      <x:c r="F9" s="53" t="n">
        <x:f>F6*'01_ZALOZENIA'!$E$14/30</x:f>
        <x:v>173613.7347708957</x:v>
      </x:c>
      <x:c r="G9" s="53" t="n">
        <x:f>G6*'01_ZALOZENIA'!$E$14/30</x:f>
        <x:v>203068.77138323023</x:v>
      </x:c>
      <x:c r="H9" s="53" t="n">
        <x:f>H6*'01_ZALOZENIA'!$E$14/30</x:f>
        <x:v>220485.47863319877</x:v>
      </x:c>
      <x:c r="I9" s="53" t="n">
        <x:f>I6*'01_ZALOZENIA'!$E$14/30</x:f>
        <x:v>200564.23869766382</x:v>
      </x:c>
      <x:c r="J9" s="53" t="n">
        <x:f>J6*'01_ZALOZENIA'!$E$14/30</x:f>
        <x:v>232008.3478079991</x:v>
      </x:c>
      <x:c r="K9" s="53" t="n">
        <x:f>K6*'01_ZALOZENIA'!$E$14/30</x:f>
        <x:v>193316.29470651413</x:v>
      </x:c>
      <x:c r="L9" s="53" t="n">
        <x:f>L6*'01_ZALOZENIA'!$E$14/30</x:f>
        <x:v>200781.17161550114</x:v>
      </x:c>
      <x:c r="M9" s="53" t="n">
        <x:f>M6*'01_ZALOZENIA'!$E$14/30</x:f>
        <x:v>147328.00724002608</x:v>
      </x:c>
      <x:c r="N9" s="53" t="n">
        <x:f>M9</x:f>
        <x:v>147328.00724002608</x:v>
      </x:c>
    </x:row>
    <x:row r="10">
      <x:c r="A10" s="85" t="str">
        <x:v>NWC</x:v>
      </x:c>
      <x:c r="B10" s="91" t="n">
        <x:f>B7+B8-B9</x:f>
        <x:v>406938.65606274083</x:v>
      </x:c>
      <x:c r="C10" s="91" t="n">
        <x:f>C7+C8-C9</x:f>
        <x:v>452555.2156371454</x:v>
      </x:c>
      <x:c r="D10" s="91" t="n">
        <x:f>D7+D8-D9</x:f>
        <x:v>386248.26115717716</x:v>
      </x:c>
      <x:c r="E10" s="91" t="n">
        <x:f>E7+E8-E9</x:f>
        <x:v>487553.12619261304</x:v>
      </x:c>
      <x:c r="F10" s="91" t="n">
        <x:f>F7+F8-F9</x:f>
        <x:v>408610.26667682454</x:v>
      </x:c>
      <x:c r="G10" s="91" t="n">
        <x:f>G7+G8-G9</x:f>
        <x:v>477934.4499335473</x:v>
      </x:c>
      <x:c r="H10" s="91" t="n">
        <x:f>H7+H8-H9</x:f>
        <x:v>518925.7079318451</x:v>
      </x:c>
      <x:c r="I10" s="91" t="n">
        <x:f>I7+I8-I9</x:f>
        <x:v>472039.88306704565</x:v>
      </x:c>
      <x:c r="J10" s="91" t="n">
        <x:f>J7+J8-J9</x:f>
        <x:v>546045.4669336922</x:v>
      </x:c>
      <x:c r="K10" s="91" t="n">
        <x:f>K7+K8-K9</x:f>
        <x:v>454981.4151354013</x:v>
      </x:c>
      <x:c r="L10" s="91" t="n">
        <x:f>L7+L8-L9</x:f>
        <x:v>472550.44761152414</x:v>
      </x:c>
      <x:c r="M10" s="91" t="n">
        <x:f>M7+M8-M9</x:f>
        <x:v>346745.2411340209</x:v>
      </x:c>
      <x:c r="N10" s="91" t="n">
        <x:f>M10</x:f>
        <x:v>346745.2411340209</x:v>
      </x:c>
    </x:row>
    <x:row r="11">
      <x:c r="A11" s="24" t="str">
        <x:v>Zmiana NWC</x:v>
      </x:c>
      <x:c r="B11" s="53" t="n">
        <x:f>B10-('06_SPRZEDAZ_WYKONANIE'!E16*'01_ZALOZENIA'!$E$12/30+'06_SPRZEDAZ_WYKONANIE'!G16*'01_ZALOZENIA'!$E$13/30-'06_SPRZEDAZ_WYKONANIE'!G16*'01_ZALOZENIA'!$E$14/30)</x:f>
        <x:v>84192.34218222892</x:v>
      </x:c>
      <x:c r="C11" s="53" t="n">
        <x:f>C10-B10</x:f>
        <x:v>45616.55957440456</x:v>
      </x:c>
      <x:c r="D11" s="53" t="n">
        <x:f>D10-C10</x:f>
        <x:v>-66306.95447996823</x:v>
      </x:c>
      <x:c r="E11" s="53" t="n">
        <x:f>E10-D10</x:f>
        <x:v>101304.86503543588</x:v>
      </x:c>
      <x:c r="F11" s="53" t="n">
        <x:f>F10-E10</x:f>
        <x:v>-78942.8595157885</x:v>
      </x:c>
      <x:c r="G11" s="53" t="n">
        <x:f>G10-F10</x:f>
        <x:v>69324.18325672275</x:v>
      </x:c>
      <x:c r="H11" s="53" t="n">
        <x:f>H10-G10</x:f>
        <x:v>40991.257998297806</x:v>
      </x:c>
      <x:c r="I11" s="53" t="n">
        <x:f>I10-H10</x:f>
        <x:v>-46885.82486479945</x:v>
      </x:c>
      <x:c r="J11" s="53" t="n">
        <x:f>J10-I10</x:f>
        <x:v>74005.58386664657</x:v>
      </x:c>
      <x:c r="K11" s="53" t="n">
        <x:f>K10-J10</x:f>
        <x:v>-91064.05179829092</x:v>
      </x:c>
      <x:c r="L11" s="53" t="n">
        <x:f>L10-K10</x:f>
        <x:v>17569.03247612284</x:v>
      </x:c>
      <x:c r="M11" s="53" t="n">
        <x:f>M10-L10</x:f>
        <x:v>-125805.20647750323</x:v>
      </x:c>
      <x:c r="N11" s="53" t="n">
        <x:f>SUM(B11:M11)</x:f>
        <x:v>23998.927253509</x:v>
      </x:c>
    </x:row>
    <x:row r="12">
      <x:c r="A12" s="86" t="str">
        <x:v>Wpływ na gotówkę</x:v>
      </x:c>
      <x:c r="B12" s="93" t="n">
        <x:f>-B11</x:f>
        <x:v>-84192.34218222892</x:v>
      </x:c>
      <x:c r="C12" s="93" t="n">
        <x:f>-C11</x:f>
        <x:v>-45616.55957440456</x:v>
      </x:c>
      <x:c r="D12" s="93" t="n">
        <x:f>-D11</x:f>
        <x:v>66306.95447996823</x:v>
      </x:c>
      <x:c r="E12" s="93" t="n">
        <x:f>-E11</x:f>
        <x:v>-101304.86503543588</x:v>
      </x:c>
      <x:c r="F12" s="93" t="n">
        <x:f>-F11</x:f>
        <x:v>78942.8595157885</x:v>
      </x:c>
      <x:c r="G12" s="93" t="n">
        <x:f>-G11</x:f>
        <x:v>-69324.18325672275</x:v>
      </x:c>
      <x:c r="H12" s="93" t="n">
        <x:f>-H11</x:f>
        <x:v>-40991.257998297806</x:v>
      </x:c>
      <x:c r="I12" s="93" t="n">
        <x:f>-I11</x:f>
        <x:v>46885.82486479945</x:v>
      </x:c>
      <x:c r="J12" s="93" t="n">
        <x:f>-J11</x:f>
        <x:v>-74005.58386664657</x:v>
      </x:c>
      <x:c r="K12" s="93" t="n">
        <x:f>-K11</x:f>
        <x:v>91064.05179829092</x:v>
      </x:c>
      <x:c r="L12" s="93" t="n">
        <x:f>-L11</x:f>
        <x:v>-17569.03247612284</x:v>
      </x:c>
      <x:c r="M12" s="93" t="n">
        <x:f>-M11</x:f>
        <x:v>125805.20647750323</x:v>
      </x:c>
      <x:c r="N12" s="93" t="n">
        <x:f>SUM(B12:M12)</x:f>
        <x:v>-23998.927253509</x:v>
      </x:c>
    </x:row>
    <x:row r="13">
      <x:c r="A13" s="210"/>
      <x:c r="B13" s="210"/>
      <x:c r="C13" s="210"/>
      <x:c r="D13" s="210"/>
      <x:c r="E13" s="210"/>
      <x:c r="F13" s="210"/>
      <x:c r="G13" s="210"/>
      <x:c r="H13" s="210"/>
      <x:c r="I13" s="210"/>
      <x:c r="J13" s="210"/>
      <x:c r="K13" s="210"/>
      <x:c r="L13" s="210"/>
      <x:c r="M13" s="210"/>
      <x:c r="N13" s="210"/>
    </x:row>
    <x:row r="14" ht="35" customHeight="1">
      <x:c r="A14" s="38" t="str">
        <x:v>Dla miesięcznego modelu przyjęto 30 dni. Pozycje FY dla należności, zapasów, zobowiązań i NWC pokazują stan grudniowy; przychód, KWS i zmiana NWC są sumami rocznymi.</x:v>
      </x:c>
      <x:c r="B14" s="39" t="str">
        <x:v>Dla miesięcznego modelu przyjęto 30 dni. Pozycje FY dla należności, zapasów, zobowiązań i NWC pokazują stan grudniowy; przychód, KWS i zmiana NWC są sumami rocznymi.</x:v>
      </x:c>
      <x:c r="C14" s="39" t="str">
        <x:v>Dla miesięcznego modelu przyjęto 30 dni. Pozycje FY dla należności, zapasów, zobowiązań i NWC pokazują stan grudniowy; przychód, KWS i zmiana NWC są sumami rocznymi.</x:v>
      </x:c>
      <x:c r="D14" s="39" t="str">
        <x:v>Dla miesięcznego modelu przyjęto 30 dni. Pozycje FY dla należności, zapasów, zobowiązań i NWC pokazują stan grudniowy; przychód, KWS i zmiana NWC są sumami rocznymi.</x:v>
      </x:c>
      <x:c r="E14" s="39" t="str">
        <x:v>Dla miesięcznego modelu przyjęto 30 dni. Pozycje FY dla należności, zapasów, zobowiązań i NWC pokazują stan grudniowy; przychód, KWS i zmiana NWC są sumami rocznymi.</x:v>
      </x:c>
      <x:c r="F14" s="39" t="str">
        <x:v>Dla miesięcznego modelu przyjęto 30 dni. Pozycje FY dla należności, zapasów, zobowiązań i NWC pokazują stan grudniowy; przychód, KWS i zmiana NWC są sumami rocznymi.</x:v>
      </x:c>
      <x:c r="G14" s="39" t="str">
        <x:v>Dla miesięcznego modelu przyjęto 30 dni. Pozycje FY dla należności, zapasów, zobowiązań i NWC pokazują stan grudniowy; przychód, KWS i zmiana NWC są sumami rocznymi.</x:v>
      </x:c>
      <x:c r="H14" s="39" t="str">
        <x:v>Dla miesięcznego modelu przyjęto 30 dni. Pozycje FY dla należności, zapasów, zobowiązań i NWC pokazują stan grudniowy; przychód, KWS i zmiana NWC są sumami rocznymi.</x:v>
      </x:c>
      <x:c r="I14" s="39" t="str">
        <x:v>Dla miesięcznego modelu przyjęto 30 dni. Pozycje FY dla należności, zapasów, zobowiązań i NWC pokazują stan grudniowy; przychód, KWS i zmiana NWC są sumami rocznymi.</x:v>
      </x:c>
      <x:c r="J14" s="39" t="str">
        <x:v>Dla miesięcznego modelu przyjęto 30 dni. Pozycje FY dla należności, zapasów, zobowiązań i NWC pokazują stan grudniowy; przychód, KWS i zmiana NWC są sumami rocznymi.</x:v>
      </x:c>
      <x:c r="K14" s="39" t="str">
        <x:v>Dla miesięcznego modelu przyjęto 30 dni. Pozycje FY dla należności, zapasów, zobowiązań i NWC pokazują stan grudniowy; przychód, KWS i zmiana NWC są sumami rocznymi.</x:v>
      </x:c>
      <x:c r="L14" s="39" t="str">
        <x:v>Dla miesięcznego modelu przyjęto 30 dni. Pozycje FY dla należności, zapasów, zobowiązań i NWC pokazują stan grudniowy; przychód, KWS i zmiana NWC są sumami rocznymi.</x:v>
      </x:c>
      <x:c r="M14" s="39" t="str">
        <x:v>Dla miesięcznego modelu przyjęto 30 dni. Pozycje FY dla należności, zapasów, zobowiązań i NWC pokazują stan grudniowy; przychód, KWS i zmiana NWC są sumami rocznymi.</x:v>
      </x:c>
      <x:c r="N14" s="40" t="str">
        <x:v>Dla miesięcznego modelu przyjęto 30 dni. Pozycje FY dla należności, zapasów, zobowiązań i NWC pokazują stan grudniowy; przychód, KWS i zmiana NWC są sumami rocznymi.</x:v>
      </x:c>
    </x:row>
  </x:sheetData>
  <x:mergeCells>
    <x:mergeCell ref="A1:N1"/>
    <x:mergeCell ref="A2:N2"/>
    <x:mergeCell ref="A14:N1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1" hidden="0" customWidth="1"/>
  </x:cols>
  <x:sheetData>
    <x:row r="1">
      <x:c r="A1" s="216" t="str">
        <x:v>PRZEPŁYWY PIENIĘŻNE 2026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Uproszczony cash flow zarządczy: EBITDA − podatek − zmiana NWC − CAPEX − odsetki. Gotówka końcowa wynika z pełnego miesięcznego roll-forward.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Pozycja</x:v>
      </x:c>
      <x:c r="B4" s="80" t="n">
        <x:v>46023</x:v>
      </x:c>
      <x:c r="C4" s="80" t="n">
        <x:v>46054</x:v>
      </x:c>
      <x:c r="D4" s="80" t="n">
        <x:v>46082</x:v>
      </x:c>
      <x:c r="E4" s="80" t="n">
        <x:v>46113</x:v>
      </x:c>
      <x:c r="F4" s="80" t="n">
        <x:v>46143</x:v>
      </x:c>
      <x:c r="G4" s="80" t="n">
        <x:v>46174</x:v>
      </x:c>
      <x:c r="H4" s="80" t="n">
        <x:v>46204</x:v>
      </x:c>
      <x:c r="I4" s="80" t="n">
        <x:v>46235</x:v>
      </x:c>
      <x:c r="J4" s="80" t="n">
        <x:v>46266</x:v>
      </x:c>
      <x:c r="K4" s="80" t="n">
        <x:v>46296</x:v>
      </x:c>
      <x:c r="L4" s="80" t="n">
        <x:v>46327</x:v>
      </x:c>
      <x:c r="M4" s="80" t="n">
        <x:v>46357</x:v>
      </x:c>
      <x:c r="N4" s="21" t="str">
        <x:v>Razem / grudzień</x:v>
      </x:c>
    </x:row>
    <x:row r="5">
      <x:c r="A5" s="24" t="str">
        <x:v>EBITDA</x:v>
      </x:c>
      <x:c r="B5" s="53" t="n">
        <x:f>'12_PLAN_2026'!B19</x:f>
        <x:v>13835.820529669276</x:v>
      </x:c>
      <x:c r="C5" s="53" t="n">
        <x:f>'12_PLAN_2026'!C19</x:f>
        <x:v>23819.45249252206</x:v>
      </x:c>
      <x:c r="D5" s="53" t="n">
        <x:f>'12_PLAN_2026'!D19</x:f>
        <x:v>9307.524449683217</x:v>
      </x:c>
      <x:c r="E5" s="53" t="n">
        <x:f>'12_PLAN_2026'!E19</x:f>
        <x:v>31479.088855161594</x:v>
      </x:c>
      <x:c r="F5" s="53" t="n">
        <x:f>'12_PLAN_2026'!F19</x:f>
        <x:v>14201.668925776248</x:v>
      </x:c>
      <x:c r="G5" s="53" t="n">
        <x:f>'12_PLAN_2026'!G19</x:f>
        <x:v>29373.947111981557</x:v>
      </x:c>
      <x:c r="H5" s="53" t="n">
        <x:f>'12_PLAN_2026'!H19</x:f>
        <x:v>35880.00640997999</x:v>
      </x:c>
      <x:c r="I5" s="53" t="n">
        <x:f>'12_PLAN_2026'!I19</x:f>
        <x:v>25618.583275659053</x:v>
      </x:c>
      <x:c r="J5" s="53" t="n">
        <x:f>'12_PLAN_2026'!J19</x:f>
        <x:v>40274.631951094765</x:v>
      </x:c>
      <x:c r="K5" s="53" t="n">
        <x:f>'12_PLAN_2026'!K19</x:f>
        <x:v>18495.410075089283</x:v>
      </x:c>
      <x:c r="L5" s="53" t="n">
        <x:f>'12_PLAN_2026'!L19</x:f>
        <x:v>22340.565339350753</x:v>
      </x:c>
      <x:c r="M5" s="53" t="n">
        <x:f>'12_PLAN_2026'!M19</x:f>
        <x:v>-5193.139354740677</x:v>
      </x:c>
      <x:c r="N5" s="53" t="n">
        <x:f>SUM(B5:M5)</x:f>
        <x:v>259433.56006122712</x:v>
      </x:c>
    </x:row>
    <x:row r="6">
      <x:c r="A6" s="27" t="str">
        <x:v>Podatek gotówkowy</x:v>
      </x:c>
      <x:c r="B6" s="51" t="n">
        <x:f>'12_PLAN_2026'!B25</x:f>
        <x:v>652.403986006641</x:v>
      </x:c>
      <x:c r="C6" s="51" t="n">
        <x:f>'12_PLAN_2026'!C25</x:f>
        <x:v>1953.8722188923728</x:v>
      </x:c>
      <x:c r="D6" s="51" t="n">
        <x:f>'12_PLAN_2026'!D25</x:f>
        <x:v>0</x:v>
      </x:c>
      <x:c r="E6" s="51" t="n">
        <x:f>'12_PLAN_2026'!E25</x:f>
        <x:v>3152.4792884689546</x:v>
      </x:c>
      <x:c r="F6" s="51" t="n">
        <x:f>'12_PLAN_2026'!F25</x:f>
        <x:v>448.8473285480438</x:v>
      </x:c>
      <x:c r="G6" s="51" t="n">
        <x:f>'12_PLAN_2026'!G25</x:f>
        <x:v>2627.4548065728886</x:v>
      </x:c>
      <x:c r="H6" s="51" t="n">
        <x:f>'12_PLAN_2026'!H25</x:f>
        <x:v>3645.5460449117923</x:v>
      </x:c>
      <x:c r="I6" s="51" t="n">
        <x:f>'12_PLAN_2026'!I25</x:f>
        <x:v>2039.8021518067483</x:v>
      </x:c>
      <x:c r="J6" s="51" t="n">
        <x:f>'12_PLAN_2026'!J25</x:f>
        <x:v>4333.232638940494</x:v>
      </x:c>
      <x:c r="K6" s="51" t="n">
        <x:f>'12_PLAN_2026'!K25</x:f>
        <x:v>533.9338724426302</x:v>
      </x:c>
      <x:c r="L6" s="51" t="n">
        <x:f>'12_PLAN_2026'!L25</x:f>
        <x:v>1135.6374083759197</x:v>
      </x:c>
      <x:c r="M6" s="51" t="n">
        <x:f>'12_PLAN_2026'!M25</x:f>
        <x:v>0</x:v>
      </x:c>
      <x:c r="N6" s="51" t="n">
        <x:f>SUM(B6:M6)</x:f>
        <x:v>20523.209744966487</x:v>
      </x:c>
    </x:row>
    <x:row r="7">
      <x:c r="A7" s="24" t="str">
        <x:v>Zmiana NWC</x:v>
      </x:c>
      <x:c r="B7" s="53" t="n">
        <x:f>'19_KAPITAL_OBROTOWY'!B11</x:f>
        <x:v>84192.34218222892</x:v>
      </x:c>
      <x:c r="C7" s="53" t="n">
        <x:f>'19_KAPITAL_OBROTOWY'!C11</x:f>
        <x:v>45616.55957440456</x:v>
      </x:c>
      <x:c r="D7" s="53" t="n">
        <x:f>'19_KAPITAL_OBROTOWY'!D11</x:f>
        <x:v>-66306.95447996823</x:v>
      </x:c>
      <x:c r="E7" s="53" t="n">
        <x:f>'19_KAPITAL_OBROTOWY'!E11</x:f>
        <x:v>101304.86503543588</x:v>
      </x:c>
      <x:c r="F7" s="53" t="n">
        <x:f>'19_KAPITAL_OBROTOWY'!F11</x:f>
        <x:v>-78942.8595157885</x:v>
      </x:c>
      <x:c r="G7" s="53" t="n">
        <x:f>'19_KAPITAL_OBROTOWY'!G11</x:f>
        <x:v>69324.18325672275</x:v>
      </x:c>
      <x:c r="H7" s="53" t="n">
        <x:f>'19_KAPITAL_OBROTOWY'!H11</x:f>
        <x:v>40991.257998297806</x:v>
      </x:c>
      <x:c r="I7" s="53" t="n">
        <x:f>'19_KAPITAL_OBROTOWY'!I11</x:f>
        <x:v>-46885.82486479945</x:v>
      </x:c>
      <x:c r="J7" s="53" t="n">
        <x:f>'19_KAPITAL_OBROTOWY'!J11</x:f>
        <x:v>74005.58386664657</x:v>
      </x:c>
      <x:c r="K7" s="53" t="n">
        <x:f>'19_KAPITAL_OBROTOWY'!K11</x:f>
        <x:v>-91064.05179829092</x:v>
      </x:c>
      <x:c r="L7" s="53" t="n">
        <x:f>'19_KAPITAL_OBROTOWY'!L11</x:f>
        <x:v>17569.03247612284</x:v>
      </x:c>
      <x:c r="M7" s="53" t="n">
        <x:f>'19_KAPITAL_OBROTOWY'!M11</x:f>
        <x:v>-125805.20647750323</x:v>
      </x:c>
      <x:c r="N7" s="53" t="n">
        <x:f>SUM(B7:M7)</x:f>
        <x:v>23998.927253509</x:v>
      </x:c>
    </x:row>
    <x:row r="8">
      <x:c r="A8" s="85" t="str">
        <x:v>CFO przed CAPEX</x:v>
      </x:c>
      <x:c r="B8" s="91" t="n">
        <x:f>B5-B6-B7</x:f>
        <x:v>-71008.92563856629</x:v>
      </x:c>
      <x:c r="C8" s="91" t="n">
        <x:f>C5-C6-C7</x:f>
        <x:v>-23750.979300774867</x:v>
      </x:c>
      <x:c r="D8" s="91" t="n">
        <x:f>D5-D6-D7</x:f>
        <x:v>75614.47892965145</x:v>
      </x:c>
      <x:c r="E8" s="91" t="n">
        <x:f>E5-E6-E7</x:f>
        <x:v>-72978.25546874324</x:v>
      </x:c>
      <x:c r="F8" s="91" t="n">
        <x:f>F5-F6-F7</x:f>
        <x:v>92695.6811130167</x:v>
      </x:c>
      <x:c r="G8" s="91" t="n">
        <x:f>G5-G6-G7</x:f>
        <x:v>-42577.690951314085</x:v>
      </x:c>
      <x:c r="H8" s="91" t="n">
        <x:f>H5-H6-H7</x:f>
        <x:v>-8756.797633229606</x:v>
      </x:c>
      <x:c r="I8" s="91" t="n">
        <x:f>I5-I6-I7</x:f>
        <x:v>70464.60598865175</x:v>
      </x:c>
      <x:c r="J8" s="91" t="n">
        <x:f>J5-J6-J7</x:f>
        <x:v>-38064.1845544923</x:v>
      </x:c>
      <x:c r="K8" s="91" t="n">
        <x:f>K5-K6-K7</x:f>
        <x:v>109025.52800093757</x:v>
      </x:c>
      <x:c r="L8" s="91" t="n">
        <x:f>L5-L6-L7</x:f>
        <x:v>3635.895454851994</x:v>
      </x:c>
      <x:c r="M8" s="91" t="n">
        <x:f>M5-M6-M7</x:f>
        <x:v>120612.06712276256</x:v>
      </x:c>
      <x:c r="N8" s="91" t="n">
        <x:f>SUM(B8:M8)</x:f>
        <x:v>214911.42306275165</x:v>
      </x:c>
    </x:row>
    <x:row r="9">
      <x:c r="A9" s="24" t="str">
        <x:v>CAPEX</x:v>
      </x:c>
      <x:c r="B9" s="53" t="n">
        <x:f>'17_CAPEX'!B32</x:f>
        <x:v>60000</x:v>
      </x:c>
      <x:c r="C9" s="53" t="n">
        <x:f>'17_CAPEX'!C32</x:f>
        <x:v>0</x:v>
      </x:c>
      <x:c r="D9" s="53" t="n">
        <x:f>'17_CAPEX'!D32</x:f>
        <x:v>0</x:v>
      </x:c>
      <x:c r="E9" s="53" t="n">
        <x:f>'17_CAPEX'!E32</x:f>
        <x:v>0</x:v>
      </x:c>
      <x:c r="F9" s="53" t="n">
        <x:f>'17_CAPEX'!F32</x:f>
        <x:v>45000</x:v>
      </x:c>
      <x:c r="G9" s="53" t="n">
        <x:f>'17_CAPEX'!G32</x:f>
        <x:v>0</x:v>
      </x:c>
      <x:c r="H9" s="53" t="n">
        <x:f>'17_CAPEX'!H32</x:f>
        <x:v>0</x:v>
      </x:c>
      <x:c r="I9" s="53" t="n">
        <x:f>'17_CAPEX'!I32</x:f>
        <x:v>0</x:v>
      </x:c>
      <x:c r="J9" s="53" t="n">
        <x:f>'17_CAPEX'!J32</x:f>
        <x:v>150000</x:v>
      </x:c>
      <x:c r="K9" s="53" t="n">
        <x:f>'17_CAPEX'!K32</x:f>
        <x:v>0</x:v>
      </x:c>
      <x:c r="L9" s="53" t="n">
        <x:f>'17_CAPEX'!L32</x:f>
        <x:v>30000</x:v>
      </x:c>
      <x:c r="M9" s="53" t="n">
        <x:f>'17_CAPEX'!M32</x:f>
        <x:v>0</x:v>
      </x:c>
      <x:c r="N9" s="53" t="n">
        <x:f>SUM(B9:M9)</x:f>
        <x:v>285000</x:v>
      </x:c>
    </x:row>
    <x:row r="10">
      <x:c r="A10" s="27" t="str">
        <x:v>FCF przed odsetkami</x:v>
      </x:c>
      <x:c r="B10" s="51" t="n">
        <x:f>B8-B9</x:f>
        <x:v>-131008.92563856629</x:v>
      </x:c>
      <x:c r="C10" s="51" t="n">
        <x:f>C8-C9</x:f>
        <x:v>-23750.979300774867</x:v>
      </x:c>
      <x:c r="D10" s="51" t="n">
        <x:f>D8-D9</x:f>
        <x:v>75614.47892965145</x:v>
      </x:c>
      <x:c r="E10" s="51" t="n">
        <x:f>E8-E9</x:f>
        <x:v>-72978.25546874324</x:v>
      </x:c>
      <x:c r="F10" s="51" t="n">
        <x:f>F8-F9</x:f>
        <x:v>47695.681113016704</x:v>
      </x:c>
      <x:c r="G10" s="51" t="n">
        <x:f>G8-G9</x:f>
        <x:v>-42577.690951314085</x:v>
      </x:c>
      <x:c r="H10" s="51" t="n">
        <x:f>H8-H9</x:f>
        <x:v>-8756.797633229606</x:v>
      </x:c>
      <x:c r="I10" s="51" t="n">
        <x:f>I8-I9</x:f>
        <x:v>70464.60598865175</x:v>
      </x:c>
      <x:c r="J10" s="51" t="n">
        <x:f>J8-J9</x:f>
        <x:v>-188064.1845544923</x:v>
      </x:c>
      <x:c r="K10" s="51" t="n">
        <x:f>K8-K9</x:f>
        <x:v>109025.52800093757</x:v>
      </x:c>
      <x:c r="L10" s="51" t="n">
        <x:f>L8-L9</x:f>
        <x:v>-26364.104545148006</x:v>
      </x:c>
      <x:c r="M10" s="51" t="n">
        <x:f>M8-M9</x:f>
        <x:v>120612.06712276256</x:v>
      </x:c>
      <x:c r="N10" s="51" t="n">
        <x:f>SUM(B10:M10)</x:f>
        <x:v>-70088.57693724835</x:v>
      </x:c>
    </x:row>
    <x:row r="11">
      <x:c r="A11" s="24" t="str">
        <x:v>Odsetki</x:v>
      </x:c>
      <x:c r="B11" s="53" t="n">
        <x:f>'12_PLAN_2026'!B23</x:f>
        <x:v>5000</x:v>
      </x:c>
      <x:c r="C11" s="53" t="n">
        <x:f>'12_PLAN_2026'!C23</x:f>
        <x:v>5000</x:v>
      </x:c>
      <x:c r="D11" s="53" t="n">
        <x:f>'12_PLAN_2026'!D23</x:f>
        <x:v>5000</x:v>
      </x:c>
      <x:c r="E11" s="53" t="n">
        <x:f>'12_PLAN_2026'!E23</x:f>
        <x:v>5000</x:v>
      </x:c>
      <x:c r="F11" s="53" t="n">
        <x:f>'12_PLAN_2026'!F23</x:f>
        <x:v>5000</x:v>
      </x:c>
      <x:c r="G11" s="53" t="n">
        <x:f>'12_PLAN_2026'!G23</x:f>
        <x:v>5000</x:v>
      </x:c>
      <x:c r="H11" s="53" t="n">
        <x:f>'12_PLAN_2026'!H23</x:f>
        <x:v>5000</x:v>
      </x:c>
      <x:c r="I11" s="53" t="n">
        <x:f>'12_PLAN_2026'!I23</x:f>
        <x:v>5000</x:v>
      </x:c>
      <x:c r="J11" s="53" t="n">
        <x:f>'12_PLAN_2026'!J23</x:f>
        <x:v>5000</x:v>
      </x:c>
      <x:c r="K11" s="53" t="n">
        <x:f>'12_PLAN_2026'!K23</x:f>
        <x:v>5000</x:v>
      </x:c>
      <x:c r="L11" s="53" t="n">
        <x:f>'12_PLAN_2026'!L23</x:f>
        <x:v>5000</x:v>
      </x:c>
      <x:c r="M11" s="53" t="n">
        <x:f>'12_PLAN_2026'!M23</x:f>
        <x:v>5000</x:v>
      </x:c>
      <x:c r="N11" s="53" t="n">
        <x:f>SUM(B11:M11)</x:f>
        <x:v>60000</x:v>
      </x:c>
    </x:row>
    <x:row r="12">
      <x:c r="A12" s="85" t="str">
        <x:v>FCF po odsetkach</x:v>
      </x:c>
      <x:c r="B12" s="91" t="n">
        <x:f>B10-B11</x:f>
        <x:v>-136008.9256385663</x:v>
      </x:c>
      <x:c r="C12" s="91" t="n">
        <x:f>C10-C11</x:f>
        <x:v>-28750.979300774867</x:v>
      </x:c>
      <x:c r="D12" s="91" t="n">
        <x:f>D10-D11</x:f>
        <x:v>70614.47892965145</x:v>
      </x:c>
      <x:c r="E12" s="91" t="n">
        <x:f>E10-E11</x:f>
        <x:v>-77978.25546874324</x:v>
      </x:c>
      <x:c r="F12" s="91" t="n">
        <x:f>F10-F11</x:f>
        <x:v>42695.681113016704</x:v>
      </x:c>
      <x:c r="G12" s="91" t="n">
        <x:f>G10-G11</x:f>
        <x:v>-47577.690951314085</x:v>
      </x:c>
      <x:c r="H12" s="91" t="n">
        <x:f>H10-H11</x:f>
        <x:v>-13756.797633229606</x:v>
      </x:c>
      <x:c r="I12" s="91" t="n">
        <x:f>I10-I11</x:f>
        <x:v>65464.60598865175</x:v>
      </x:c>
      <x:c r="J12" s="91" t="n">
        <x:f>J10-J11</x:f>
        <x:v>-193064.1845544923</x:v>
      </x:c>
      <x:c r="K12" s="91" t="n">
        <x:f>K10-K11</x:f>
        <x:v>104025.52800093757</x:v>
      </x:c>
      <x:c r="L12" s="91" t="n">
        <x:f>L10-L11</x:f>
        <x:v>-31364.104545148006</x:v>
      </x:c>
      <x:c r="M12" s="91" t="n">
        <x:f>M10-M11</x:f>
        <x:v>115612.06712276256</x:v>
      </x:c>
      <x:c r="N12" s="91" t="n">
        <x:f>SUM(B12:M12)</x:f>
        <x:v>-130088.57693724835</x:v>
      </x:c>
    </x:row>
    <x:row r="13">
      <x:c r="A13" s="24" t="str">
        <x:v>Gotówka początkowa</x:v>
      </x:c>
      <x:c r="B13" s="53" t="n">
        <x:f>'01_ZALOZENIA'!$E$15</x:f>
        <x:v>500000</x:v>
      </x:c>
      <x:c r="C13" s="53" t="n">
        <x:f>B14</x:f>
        <x:v>363991.07436143374</x:v>
      </x:c>
      <x:c r="D13" s="53" t="n">
        <x:f>C14</x:f>
        <x:v>335240.0950606589</x:v>
      </x:c>
      <x:c r="E13" s="53" t="n">
        <x:f>D14</x:f>
        <x:v>405854.5739903103</x:v>
      </x:c>
      <x:c r="F13" s="53" t="n">
        <x:f>E14</x:f>
        <x:v>327876.31852156704</x:v>
      </x:c>
      <x:c r="G13" s="53" t="n">
        <x:f>F14</x:f>
        <x:v>370571.9996345837</x:v>
      </x:c>
      <x:c r="H13" s="53" t="n">
        <x:f>G14</x:f>
        <x:v>322994.30868326966</x:v>
      </x:c>
      <x:c r="I13" s="53" t="n">
        <x:f>H14</x:f>
        <x:v>309237.5110500401</x:v>
      </x:c>
      <x:c r="J13" s="53" t="n">
        <x:f>I14</x:f>
        <x:v>374702.1170386918</x:v>
      </x:c>
      <x:c r="K13" s="53" t="n">
        <x:f>J14</x:f>
        <x:v>181637.93248419953</x:v>
      </x:c>
      <x:c r="L13" s="53" t="n">
        <x:f>K14</x:f>
        <x:v>285663.46048513707</x:v>
      </x:c>
      <x:c r="M13" s="53" t="n">
        <x:f>L14</x:f>
        <x:v>254299.35593998907</x:v>
      </x:c>
      <x:c r="N13" s="53" t="n">
        <x:f>B13</x:f>
        <x:v>500000</x:v>
      </x:c>
    </x:row>
    <x:row r="14">
      <x:c r="A14" s="86" t="str">
        <x:v>Gotówka końcowa</x:v>
      </x:c>
      <x:c r="B14" s="93" t="n">
        <x:f>B13+B12</x:f>
        <x:v>363991.07436143374</x:v>
      </x:c>
      <x:c r="C14" s="93" t="n">
        <x:f>C13+C12</x:f>
        <x:v>335240.0950606589</x:v>
      </x:c>
      <x:c r="D14" s="93" t="n">
        <x:f>D13+D12</x:f>
        <x:v>405854.5739903103</x:v>
      </x:c>
      <x:c r="E14" s="93" t="n">
        <x:f>E13+E12</x:f>
        <x:v>327876.31852156704</x:v>
      </x:c>
      <x:c r="F14" s="93" t="n">
        <x:f>F13+F12</x:f>
        <x:v>370571.9996345837</x:v>
      </x:c>
      <x:c r="G14" s="93" t="n">
        <x:f>G13+G12</x:f>
        <x:v>322994.30868326966</x:v>
      </x:c>
      <x:c r="H14" s="93" t="n">
        <x:f>H13+H12</x:f>
        <x:v>309237.5110500401</x:v>
      </x:c>
      <x:c r="I14" s="93" t="n">
        <x:f>I13+I12</x:f>
        <x:v>374702.1170386918</x:v>
      </x:c>
      <x:c r="J14" s="93" t="n">
        <x:f>J13+J12</x:f>
        <x:v>181637.93248419953</x:v>
      </x:c>
      <x:c r="K14" s="93" t="n">
        <x:f>K13+K12</x:f>
        <x:v>285663.46048513707</x:v>
      </x:c>
      <x:c r="L14" s="93" t="n">
        <x:f>L13+L12</x:f>
        <x:v>254299.35593998907</x:v>
      </x:c>
      <x:c r="M14" s="93" t="n">
        <x:f>M13+M12</x:f>
        <x:v>369911.42306275165</x:v>
      </x:c>
      <x:c r="N14" s="93" t="n">
        <x:f>M14</x:f>
        <x:v>369911.42306275165</x:v>
      </x:c>
    </x:row>
  </x:sheetData>
  <x:mergeCells>
    <x:mergeCell ref="A1:N1"/>
    <x:mergeCell ref="A2:N2"/>
  </x:mergeCells>
  <x:conditionalFormatting sqref="B14:N14">
    <x:cfRule type="cellIs" dxfId="12" priority="1" operator="lessThan">
      <x:formula>0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9" hidden="0" customWidth="1"/>
  </x:cols>
  <x:sheetData>
    <x:row r="1">
      <x:c r="A1" s="216" t="str">
        <x:v>PRÓG RENTOWNOŚCI 2026</x:v>
      </x:c>
      <x:c r="B1" s="216"/>
      <x:c r="C1" s="216"/>
      <x:c r="D1" s="216"/>
      <x:c r="E1" s="216"/>
      <x:c r="F1" s="216"/>
      <x:c r="G1" s="216"/>
      <x:c r="H1" s="216"/>
      <x:c r="I1" s="216"/>
      <x:c r="J1" s="216"/>
      <x:c r="K1" s="216"/>
      <x:c r="L1" s="216"/>
      <x:c r="M1" s="216"/>
      <x:c r="N1" s="216"/>
    </x:row>
    <x:row r="2" ht="32" customHeight="1">
      <x:c r="A2" s="42" t="str">
        <x:v>Koszty zmienne obejmują KWS, marketing i logistykę. Pozostały OPEX traktowany jest jako koszt stały w horyzoncie miesięcznym.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</x:row>
    <x:row r="4" ht="32" customHeight="1">
      <x:c r="A4" s="21" t="str">
        <x:v>Pozycja</x:v>
      </x:c>
      <x:c r="B4" s="80" t="n">
        <x:v>46023</x:v>
      </x:c>
      <x:c r="C4" s="80" t="n">
        <x:v>46054</x:v>
      </x:c>
      <x:c r="D4" s="80" t="n">
        <x:v>46082</x:v>
      </x:c>
      <x:c r="E4" s="80" t="n">
        <x:v>46113</x:v>
      </x:c>
      <x:c r="F4" s="80" t="n">
        <x:v>46143</x:v>
      </x:c>
      <x:c r="G4" s="80" t="n">
        <x:v>46174</x:v>
      </x:c>
      <x:c r="H4" s="80" t="n">
        <x:v>46204</x:v>
      </x:c>
      <x:c r="I4" s="80" t="n">
        <x:v>46235</x:v>
      </x:c>
      <x:c r="J4" s="80" t="n">
        <x:v>46266</x:v>
      </x:c>
      <x:c r="K4" s="80" t="n">
        <x:v>46296</x:v>
      </x:c>
      <x:c r="L4" s="80" t="n">
        <x:v>46327</x:v>
      </x:c>
      <x:c r="M4" s="80" t="n">
        <x:v>46357</x:v>
      </x:c>
      <x:c r="N4" s="21" t="str">
        <x:v>Razem</x:v>
      </x:c>
    </x:row>
    <x:row r="5">
      <x:c r="A5" s="24" t="str">
        <x:v>Przychód netto</x:v>
      </x:c>
      <x:c r="B5" s="53" t="n">
        <x:f>'12_PLAN_2026'!B7</x:f>
        <x:v>274703.0679431429</x:v>
      </x:c>
      <x:c r="C5" s="53" t="n">
        <x:f>'12_PLAN_2026'!C7</x:f>
        <x:v>305496.428754184</x:v>
      </x:c>
      <x:c r="D5" s="53" t="n">
        <x:f>'12_PLAN_2026'!D7</x:f>
        <x:v>260736.06118958152</x:v>
      </x:c>
      <x:c r="E5" s="53" t="n">
        <x:f>'12_PLAN_2026'!E7</x:f>
        <x:v>329121.69329455827</x:v>
      </x:c>
      <x:c r="F5" s="53" t="n">
        <x:f>'12_PLAN_2026'!F7</x:f>
        <x:v>275831.48510689434</x:v>
      </x:c>
      <x:c r="G5" s="53" t="n">
        <x:f>'12_PLAN_2026'!G7</x:f>
        <x:v>322628.62649308477</x:v>
      </x:c>
      <x:c r="H5" s="53" t="n">
        <x:f>'12_PLAN_2026'!H7</x:f>
        <x:v>350299.68738449627</x:v>
      </x:c>
      <x:c r="I5" s="53" t="n">
        <x:f>'12_PLAN_2026'!I7</x:f>
        <x:v>318649.5117584689</x:v>
      </x:c>
      <x:c r="J5" s="53" t="n">
        <x:f>'12_PLAN_2026'!J7</x:f>
        <x:v>368606.8225968795</x:v>
      </x:c>
      <x:c r="K5" s="53" t="n">
        <x:f>'12_PLAN_2026'!K7</x:f>
        <x:v>307134.22952755215</x:v>
      </x:c>
      <x:c r="L5" s="53" t="n">
        <x:f>'12_PLAN_2026'!L7</x:f>
        <x:v>318994.1672603774</x:v>
      </x:c>
      <x:c r="M5" s="53" t="n">
        <x:f>'12_PLAN_2026'!M7</x:f>
        <x:v>234069.6321548639</x:v>
      </x:c>
      <x:c r="N5" s="53" t="n">
        <x:f>SUM(B5:M5)</x:f>
        <x:v>3666271.413464084</x:v>
      </x:c>
    </x:row>
    <x:row r="6">
      <x:c r="A6" s="27" t="str">
        <x:v>Koszty zmienne</x:v>
      </x:c>
      <x:c r="B6" s="51" t="n">
        <x:f>'12_PLAN_2026'!B8+'12_PLAN_2026'!B11+'12_PLAN_2026'!B13</x:f>
        <x:v>185640.54741347363</x:v>
      </x:c>
      <x:c r="C6" s="51" t="n">
        <x:f>'12_PLAN_2026'!C8+'12_PLAN_2026'!C11+'12_PLAN_2026'!C13</x:f>
        <x:v>206450.27626166193</x:v>
      </x:c>
      <x:c r="D6" s="51" t="n">
        <x:f>'12_PLAN_2026'!D8+'12_PLAN_2026'!D11+'12_PLAN_2026'!D13</x:f>
        <x:v>176201.83673989828</x:v>
      </x:c>
      <x:c r="E6" s="51" t="n">
        <x:f>'12_PLAN_2026'!E8+'12_PLAN_2026'!E11+'12_PLAN_2026'!E13</x:f>
        <x:v>222415.90443939666</x:v>
      </x:c>
      <x:c r="F6" s="51" t="n">
        <x:f>'12_PLAN_2026'!F8+'12_PLAN_2026'!F11+'12_PLAN_2026'!F13</x:f>
        <x:v>186403.11618111806</x:v>
      </x:c>
      <x:c r="G6" s="51" t="n">
        <x:f>'12_PLAN_2026'!G8+'12_PLAN_2026'!G11+'12_PLAN_2026'!G13</x:f>
        <x:v>218027.97938110319</x:v>
      </x:c>
      <x:c r="H6" s="51" t="n">
        <x:f>'12_PLAN_2026'!H8+'12_PLAN_2026'!H11+'12_PLAN_2026'!H13</x:f>
        <x:v>236727.70097451625</x:v>
      </x:c>
      <x:c r="I6" s="51" t="n">
        <x:f>'12_PLAN_2026'!I8+'12_PLAN_2026'!I11+'12_PLAN_2026'!I13</x:f>
        <x:v>215338.94848280985</x:v>
      </x:c>
      <x:c r="J6" s="51" t="n">
        <x:f>'12_PLAN_2026'!J8+'12_PLAN_2026'!J11+'12_PLAN_2026'!J13</x:f>
        <x:v>249099.41064578475</x:v>
      </x:c>
      <x:c r="K6" s="51" t="n">
        <x:f>'12_PLAN_2026'!K8+'12_PLAN_2026'!K11+'12_PLAN_2026'!K13</x:f>
        <x:v>207557.07945246287</x:v>
      </x:c>
      <x:c r="L6" s="51" t="n">
        <x:f>'12_PLAN_2026'!L8+'12_PLAN_2026'!L11+'12_PLAN_2026'!L13</x:f>
        <x:v>215571.8619210266</x:v>
      </x:c>
      <x:c r="M6" s="51" t="n">
        <x:f>'12_PLAN_2026'!M8+'12_PLAN_2026'!M11+'12_PLAN_2026'!M13</x:f>
        <x:v>158181.0315096046</x:v>
      </x:c>
      <x:c r="N6" s="51" t="n">
        <x:f>SUM(B6:M6)</x:f>
        <x:v>2477615.693402857</x:v>
      </x:c>
    </x:row>
    <x:row r="7">
      <x:c r="A7" s="85" t="str">
        <x:v>Marża kontrybucyjna</x:v>
      </x:c>
      <x:c r="B7" s="91" t="n">
        <x:f>B5-B6</x:f>
        <x:v>89062.52052966927</x:v>
      </x:c>
      <x:c r="C7" s="91" t="n">
        <x:f>C5-C6</x:f>
        <x:v>99046.15249252206</x:v>
      </x:c>
      <x:c r="D7" s="91" t="n">
        <x:f>D5-D6</x:f>
        <x:v>84534.22444968324</x:v>
      </x:c>
      <x:c r="E7" s="91" t="n">
        <x:f>E5-E6</x:f>
        <x:v>106705.7888551616</x:v>
      </x:c>
      <x:c r="F7" s="91" t="n">
        <x:f>F5-F6</x:f>
        <x:v>89428.36892577627</x:v>
      </x:c>
      <x:c r="G7" s="91" t="n">
        <x:f>G5-G6</x:f>
        <x:v>104600.64711198158</x:v>
      </x:c>
      <x:c r="H7" s="91" t="n">
        <x:f>H5-H6</x:f>
        <x:v>113571.98640998002</x:v>
      </x:c>
      <x:c r="I7" s="91" t="n">
        <x:f>I5-I6</x:f>
        <x:v>103310.56327565908</x:v>
      </x:c>
      <x:c r="J7" s="91" t="n">
        <x:f>J5-J6</x:f>
        <x:v>119507.41195109475</x:v>
      </x:c>
      <x:c r="K7" s="91" t="n">
        <x:f>K5-K6</x:f>
        <x:v>99577.15007508927</x:v>
      </x:c>
      <x:c r="L7" s="91" t="n">
        <x:f>L5-L6</x:f>
        <x:v>103422.30533935077</x:v>
      </x:c>
      <x:c r="M7" s="91" t="n">
        <x:f>M5-M6</x:f>
        <x:v>75888.60064525931</x:v>
      </x:c>
      <x:c r="N7" s="91" t="n">
        <x:f>SUM(B7:M7)</x:f>
        <x:v>1188655.7200612272</x:v>
      </x:c>
    </x:row>
    <x:row r="8">
      <x:c r="A8" s="85" t="str">
        <x:v>Marża kontrybucyjna %</x:v>
      </x:c>
      <x:c r="B8" s="92" t="n">
        <x:f>IFERROR(B7/B5,0)</x:f>
        <x:v>0.3242137817991284</x:v>
      </x:c>
      <x:c r="C8" s="92" t="n">
        <x:f>IFERROR(C7/C5,0)</x:f>
        <x:v>0.32421378179912863</x:v>
      </x:c>
      <x:c r="D8" s="92" t="n">
        <x:f>IFERROR(D7/D5,0)</x:f>
        <x:v>0.3242137817991287</x:v>
      </x:c>
      <x:c r="E8" s="92" t="n">
        <x:f>IFERROR(E7/E5,0)</x:f>
        <x:v>0.3242137817991285</x:v>
      </x:c>
      <x:c r="F8" s="92" t="n">
        <x:f>IFERROR(F7/F5,0)</x:f>
        <x:v>0.32421378179912874</x:v>
      </x:c>
      <x:c r="G8" s="92" t="n">
        <x:f>IFERROR(G7/G5,0)</x:f>
        <x:v>0.32421378179912874</x:v>
      </x:c>
      <x:c r="H8" s="92" t="n">
        <x:f>IFERROR(H7/H5,0)</x:f>
        <x:v>0.3242137817991286</x:v>
      </x:c>
      <x:c r="I8" s="92" t="n">
        <x:f>IFERROR(I7/I5,0)</x:f>
        <x:v>0.3242137817991285</x:v>
      </x:c>
      <x:c r="J8" s="92" t="n">
        <x:f>IFERROR(J7/J5,0)</x:f>
        <x:v>0.32421378179912846</x:v>
      </x:c>
      <x:c r="K8" s="92" t="n">
        <x:f>IFERROR(K7/K5,0)</x:f>
        <x:v>0.32421378179912863</x:v>
      </x:c>
      <x:c r="L8" s="92" t="n">
        <x:f>IFERROR(L7/L5,0)</x:f>
        <x:v>0.32421378179912874</x:v>
      </x:c>
      <x:c r="M8" s="92" t="n">
        <x:f>IFERROR(M7/M5,0)</x:f>
        <x:v>0.32421378179912846</x:v>
      </x:c>
      <x:c r="N8" s="92" t="n">
        <x:f>IFERROR(N7/N5,0)</x:f>
        <x:v>0.3242137817991286</x:v>
      </x:c>
    </x:row>
    <x:row r="9">
      <x:c r="A9" s="24" t="str">
        <x:v>Koszty stałe</x:v>
      </x:c>
      <x:c r="B9" s="53" t="n">
        <x:f>SUM('12_PLAN_2026'!B12,'12_PLAN_2026'!B14:B18)</x:f>
        <x:v>75226.70000000001</x:v>
      </x:c>
      <x:c r="C9" s="53" t="n">
        <x:f>SUM('12_PLAN_2026'!C12,'12_PLAN_2026'!C14:C18)</x:f>
        <x:v>75226.70000000001</x:v>
      </x:c>
      <x:c r="D9" s="53" t="n">
        <x:f>SUM('12_PLAN_2026'!D12,'12_PLAN_2026'!D14:D18)</x:f>
        <x:v>75226.70000000001</x:v>
      </x:c>
      <x:c r="E9" s="53" t="n">
        <x:f>SUM('12_PLAN_2026'!E12,'12_PLAN_2026'!E14:E18)</x:f>
        <x:v>75226.70000000001</x:v>
      </x:c>
      <x:c r="F9" s="53" t="n">
        <x:f>SUM('12_PLAN_2026'!F12,'12_PLAN_2026'!F14:F18)</x:f>
        <x:v>75226.70000000001</x:v>
      </x:c>
      <x:c r="G9" s="53" t="n">
        <x:f>SUM('12_PLAN_2026'!G12,'12_PLAN_2026'!G14:G18)</x:f>
        <x:v>75226.70000000001</x:v>
      </x:c>
      <x:c r="H9" s="53" t="n">
        <x:f>SUM('12_PLAN_2026'!H12,'12_PLAN_2026'!H14:H18)</x:f>
        <x:v>77691.98000000001</x:v>
      </x:c>
      <x:c r="I9" s="53" t="n">
        <x:f>SUM('12_PLAN_2026'!I12,'12_PLAN_2026'!I14:I18)</x:f>
        <x:v>77691.98000000001</x:v>
      </x:c>
      <x:c r="J9" s="53" t="n">
        <x:f>SUM('12_PLAN_2026'!J12,'12_PLAN_2026'!J14:J18)</x:f>
        <x:v>79232.78</x:v>
      </x:c>
      <x:c r="K9" s="53" t="n">
        <x:f>SUM('12_PLAN_2026'!K12,'12_PLAN_2026'!K14:K18)</x:f>
        <x:v>81081.74</x:v>
      </x:c>
      <x:c r="L9" s="53" t="n">
        <x:f>SUM('12_PLAN_2026'!L12,'12_PLAN_2026'!L14:L18)</x:f>
        <x:v>81081.74</x:v>
      </x:c>
      <x:c r="M9" s="53" t="n">
        <x:f>SUM('12_PLAN_2026'!M12,'12_PLAN_2026'!M14:M18)</x:f>
        <x:v>81081.74</x:v>
      </x:c>
      <x:c r="N9" s="53" t="n">
        <x:f>SUM(B9:M9)</x:f>
        <x:v>929222.16</x:v>
      </x:c>
    </x:row>
    <x:row r="10">
      <x:c r="A10" s="106" t="str">
        <x:v>Próg rentowności</x:v>
      </x:c>
      <x:c r="B10" s="107" t="n">
        <x:f>IFERROR(B9/B8,0)</x:f>
        <x:v>232028.07598909494</x:v>
      </x:c>
      <x:c r="C10" s="107" t="n">
        <x:f>IFERROR(C9/C8,0)</x:f>
        <x:v>232028.07598909477</x:v>
      </x:c>
      <x:c r="D10" s="107" t="n">
        <x:f>IFERROR(D9/D8,0)</x:f>
        <x:v>232028.07598909474</x:v>
      </x:c>
      <x:c r="E10" s="107" t="n">
        <x:f>IFERROR(E9/E8,0)</x:f>
        <x:v>232028.07598909485</x:v>
      </x:c>
      <x:c r="F10" s="107" t="n">
        <x:f>IFERROR(F9/F8,0)</x:f>
        <x:v>232028.0759890947</x:v>
      </x:c>
      <x:c r="G10" s="107" t="n">
        <x:f>IFERROR(G9/G8,0)</x:f>
        <x:v>232028.0759890947</x:v>
      </x:c>
      <x:c r="H10" s="107" t="n">
        <x:f>IFERROR(H9/H8,0)</x:f>
        <x:v>239631.94768856317</x:v>
      </x:c>
      <x:c r="I10" s="107" t="n">
        <x:f>IFERROR(I9/I8,0)</x:f>
        <x:v>239631.9476885632</x:v>
      </x:c>
      <x:c r="J10" s="107" t="n">
        <x:f>IFERROR(J9/J8,0)</x:f>
        <x:v>244384.36750073094</x:v>
      </x:c>
      <x:c r="K10" s="107" t="n">
        <x:f>IFERROR(K9/K8,0)</x:f>
        <x:v>250087.27127533208</x:v>
      </x:c>
      <x:c r="L10" s="107" t="n">
        <x:f>IFERROR(L9/L8,0)</x:f>
        <x:v>250087.271275332</x:v>
      </x:c>
      <x:c r="M10" s="107" t="n">
        <x:f>IFERROR(M9/M8,0)</x:f>
        <x:v>250087.2712753322</x:v>
      </x:c>
      <x:c r="N10" s="107" t="n">
        <x:f>SUM(B10:M10)</x:f>
        <x:v>2866078.5326384227</x:v>
      </x:c>
    </x:row>
    <x:row r="11">
      <x:c r="A11" s="86" t="str">
        <x:v>Bufor ponad próg</x:v>
      </x:c>
      <x:c r="B11" s="93" t="n">
        <x:f>B5-B10</x:f>
        <x:v>42674.99195404796</x:v>
      </x:c>
      <x:c r="C11" s="93" t="n">
        <x:f>C5-C10</x:f>
        <x:v>73468.35276508922</x:v>
      </x:c>
      <x:c r="D11" s="93" t="n">
        <x:f>D5-D10</x:f>
        <x:v>28707.985200486786</x:v>
      </x:c>
      <x:c r="E11" s="93" t="n">
        <x:f>E5-E10</x:f>
        <x:v>97093.61730546341</x:v>
      </x:c>
      <x:c r="F11" s="93" t="n">
        <x:f>F5-F10</x:f>
        <x:v>43803.40911779963</x:v>
      </x:c>
      <x:c r="G11" s="93" t="n">
        <x:f>G5-G10</x:f>
        <x:v>90600.55050399006</x:v>
      </x:c>
      <x:c r="H11" s="93" t="n">
        <x:f>H5-H10</x:f>
        <x:v>110667.7396959331</x:v>
      </x:c>
      <x:c r="I11" s="93" t="n">
        <x:f>I5-I10</x:f>
        <x:v>79017.56406990573</x:v>
      </x:c>
      <x:c r="J11" s="93" t="n">
        <x:f>J5-J10</x:f>
        <x:v>124222.45509614857</x:v>
      </x:c>
      <x:c r="K11" s="93" t="n">
        <x:f>K5-K10</x:f>
        <x:v>57046.958252220065</x:v>
      </x:c>
      <x:c r="L11" s="93" t="n">
        <x:f>L5-L10</x:f>
        <x:v>68906.89598504538</x:v>
      </x:c>
      <x:c r="M11" s="93" t="n">
        <x:f>M5-M10</x:f>
        <x:v>-16017.639120468288</x:v>
      </x:c>
      <x:c r="N11" s="93" t="n">
        <x:f>SUM(B11:M11)</x:f>
        <x:v>800192.8808256616</x:v>
      </x:c>
    </x:row>
    <x:row r="12">
      <x:c r="A12" s="86" t="str">
        <x:v>Margines bezpieczeństwa</x:v>
      </x:c>
      <x:c r="B12" s="108" t="n">
        <x:f>IFERROR(B11/B5,0)</x:f>
        <x:v>0.15534952803250338</x:v>
      </x:c>
      <x:c r="C12" s="108" t="n">
        <x:f>IFERROR(C11/C5,0)</x:f>
        <x:v>0.2404884177032561</x:v>
      </x:c>
      <x:c r="D12" s="108" t="n">
        <x:f>IFERROR(D11/D5,0)</x:f>
        <x:v>0.11010362383135477</x:v>
      </x:c>
      <x:c r="E12" s="108" t="n">
        <x:f>IFERROR(E11/E5,0)</x:f>
        <x:v>0.29500825768590794</x:v>
      </x:c>
      <x:c r="F12" s="108" t="n">
        <x:f>IFERROR(F11/F5,0)</x:f>
        <x:v>0.15880496420060342</x:v>
      </x:c>
      <x:c r="G12" s="108" t="n">
        <x:f>IFERROR(G11/G5,0)</x:f>
        <x:v>0.2808199368072256</x:v>
      </x:c>
      <x:c r="H12" s="108" t="n">
        <x:f>IFERROR(H11/H5,0)</x:f>
        <x:v>0.31592303299563573</x:v>
      </x:c>
      <x:c r="I12" s="108" t="n">
        <x:f>IFERROR(I11/I5,0)</x:f>
        <x:v>0.24797641657709407</x:v>
      </x:c>
      <x:c r="J12" s="108" t="n">
        <x:f>IFERROR(J11/J5,0)</x:f>
        <x:v>0.3370053061443258</x:v>
      </x:c>
      <x:c r="K12" s="108" t="n">
        <x:f>IFERROR(K11/K5,0)</x:f>
        <x:v>0.18573950008754248</x:v>
      </x:c>
      <x:c r="L12" s="108" t="n">
        <x:f>IFERROR(L11/L5,0)</x:f>
        <x:v>0.2160130280024853</x:v>
      </x:c>
      <x:c r="M12" s="108" t="n">
        <x:f>IFERROR(M11/M5,0)</x:f>
        <x:v>-0.06843108596791737</x:v>
      </x:c>
      <x:c r="N12" s="108" t="n">
        <x:f>IFERROR(N11/N5,0)</x:f>
        <x:v>0.21825794944886465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58" hidden="0" customWidth="1"/>
  </x:cols>
  <x:sheetData>
    <x:row r="1">
      <x:c r="A1" s="216" t="str">
        <x:v>SCENARIUSZE I WRAŻLIWOŚĆ</x:v>
      </x:c>
      <x:c r="B1" s="216"/>
      <x:c r="C1" s="216"/>
      <x:c r="D1" s="216"/>
      <x:c r="E1" s="216"/>
      <x:c r="F1" s="216"/>
    </x:row>
    <x:row r="2" ht="32" customHeight="1">
      <x:c r="A2" s="42" t="str">
        <x:v>Każda kolumna pobiera własny zestaw założeń z 01_ZALOZENIA. Zmiana scenariusza aktywnego nie zmienia tej tabeli porównawczej - zmienia natomiast plan miesięczny i dashboard.</x:v>
      </x:c>
      <x:c r="B2" s="42"/>
      <x:c r="C2" s="42"/>
      <x:c r="D2" s="42"/>
      <x:c r="E2" s="42"/>
      <x:c r="F2" s="42"/>
    </x:row>
    <x:row r="3">
      <x:c r="A3" s="210"/>
      <x:c r="B3" s="210"/>
      <x:c r="C3" s="210"/>
      <x:c r="D3" s="210"/>
      <x:c r="E3" s="210"/>
      <x:c r="F3" s="210"/>
    </x:row>
    <x:row r="4" ht="32" customHeight="1">
      <x:c r="A4" s="21" t="str">
        <x:v>Pozycja</x:v>
      </x:c>
      <x:c r="B4" s="21" t="str">
        <x:v>Bazowy</x:v>
      </x:c>
      <x:c r="C4" s="21" t="str">
        <x:v>Optymistyczny</x:v>
      </x:c>
      <x:c r="D4" s="21" t="str">
        <x:v>Pesymistyczny</x:v>
      </x:c>
      <x:c r="E4" s="21" t="str">
        <x:v>Jednostka</x:v>
      </x:c>
      <x:c r="F4" s="21" t="str">
        <x:v>Logika</x:v>
      </x:c>
    </x:row>
    <x:row r="5">
      <x:c r="A5" s="24" t="str">
        <x:v>Przychód brutto</x:v>
      </x:c>
      <x:c r="B5" s="53" t="n">
        <x:f>'06_SPRZEDAZ_WYKONANIE'!$B$18*(1+'01_ZALOZENIA'!$B$6+'01_ZALOZENIA'!$B$20)*(1+'01_ZALOZENIA'!$B$7+'01_ZALOZENIA'!$B$21)</x:f>
        <x:v>3764938.099858001</x:v>
      </x:c>
      <x:c r="C5" s="53" t="n">
        <x:f>'06_SPRZEDAZ_WYKONANIE'!$B$18*(1+'01_ZALOZENIA'!$C$6+'01_ZALOZENIA'!$C$20)*(1+'01_ZALOZENIA'!$C$7+'01_ZALOZENIA'!$C$21)</x:f>
        <x:v>4249614.130450251</x:v>
      </x:c>
      <x:c r="D5" s="53" t="n">
        <x:f>'06_SPRZEDAZ_WYKONANIE'!$B$18*(1+'01_ZALOZENIA'!$D$6+'01_ZALOZENIA'!$D$20)*(1+'01_ZALOZENIA'!$D$7+'01_ZALOZENIA'!$D$21)</x:f>
        <x:v>2922817.8900690004</x:v>
      </x:c>
      <x:c r="E5" s="24" t="str">
        <x:v>PLN</x:v>
      </x:c>
      <x:c r="F5" s="28" t="str">
        <x:v>Wykonanie × wolumen × cena</x:v>
      </x:c>
    </x:row>
    <x:row r="6">
      <x:c r="A6" s="27" t="str">
        <x:v>Zwroty</x:v>
      </x:c>
      <x:c r="B6" s="51" t="n">
        <x:f>B5*'01_ZALOZENIA'!$B$25</x:f>
        <x:v>98666.68639391748</x:v>
      </x:c>
      <x:c r="C6" s="51" t="n">
        <x:f>C5*'01_ZALOZENIA'!$C$25</x:f>
        <x:v>111368.45642166318</x:v>
      </x:c>
      <x:c r="D6" s="51" t="n">
        <x:f>D5*'01_ZALOZENIA'!$D$25</x:f>
        <x:v>76597.47610640568</x:v>
      </x:c>
      <x:c r="E6" s="27" t="str">
        <x:v>PLN</x:v>
      </x:c>
      <x:c r="F6" s="29" t="str">
        <x:v>Przychód × stopa zwrotów</x:v>
      </x:c>
    </x:row>
    <x:row r="7">
      <x:c r="A7" s="24" t="str">
        <x:v>Przychód netto</x:v>
      </x:c>
      <x:c r="B7" s="53" t="n">
        <x:f>B5-B6</x:f>
        <x:v>3666271.4134640833</x:v>
      </x:c>
      <x:c r="C7" s="53" t="n">
        <x:f>C5-C6</x:f>
        <x:v>4138245.6740285875</x:v>
      </x:c>
      <x:c r="D7" s="53" t="n">
        <x:f>D5-D6</x:f>
        <x:v>2846220.4139625947</x:v>
      </x:c>
      <x:c r="E7" s="24" t="str">
        <x:v>PLN</x:v>
      </x:c>
      <x:c r="F7" s="28" t="str">
        <x:v>Przychód brutto − zwroty</x:v>
      </x:c>
    </x:row>
    <x:row r="8">
      <x:c r="A8" s="27" t="str">
        <x:v>KWS</x:v>
      </x:c>
      <x:c r="B8" s="51" t="n">
        <x:f>'06_SPRZEDAZ_WYKONANIE'!$G$18*(1+'01_ZALOZENIA'!$B$6+'01_ZALOZENIA'!$B$20)*(1+'01_ZALOZENIA'!$B$8)</x:f>
        <x:v>2307622.976864293</x:v>
      </x:c>
      <x:c r="C8" s="51" t="n">
        <x:f>'06_SPRZEDAZ_WYKONANIE'!$G$18*(1+'01_ZALOZENIA'!$C$6+'01_ZALOZENIA'!$C$20)*(1+'01_ZALOZENIA'!$C$8)</x:f>
        <x:v>2483441.8703396684</x:v>
      </x:c>
      <x:c r="D8" s="51" t="n">
        <x:f>'06_SPRZEDAZ_WYKONANIE'!$G$18*(1+'01_ZALOZENIA'!$D$6+'01_ZALOZENIA'!$D$20)*(1+'01_ZALOZENIA'!$D$8)</x:f>
        <x:v>1971561.3782918234</x:v>
      </x:c>
      <x:c r="E8" s="27" t="str">
        <x:v>PLN</x:v>
      </x:c>
      <x:c r="F8" s="29" t="str">
        <x:v>KWS 2025 × wolumen × inflacja KWS</x:v>
      </x:c>
    </x:row>
    <x:row r="9">
      <x:c r="A9" s="85" t="str">
        <x:v>Marża brutto</x:v>
      </x:c>
      <x:c r="B9" s="91" t="n">
        <x:f>B7-B8</x:f>
        <x:v>1358648.4365997901</x:v>
      </x:c>
      <x:c r="C9" s="91" t="n">
        <x:f>C7-C8</x:f>
        <x:v>1654803.8036889192</x:v>
      </x:c>
      <x:c r="D9" s="91" t="n">
        <x:f>D7-D8</x:f>
        <x:v>874659.0356707713</x:v>
      </x:c>
      <x:c r="E9" s="85" t="str">
        <x:v>PLN</x:v>
      </x:c>
      <x:c r="F9" s="94" t="str">
        <x:v>Przychód netto − KWS</x:v>
      </x:c>
    </x:row>
    <x:row r="10">
      <x:c r="A10" s="27" t="str">
        <x:v>OPEX</x:v>
      </x:c>
      <x:c r="B10" s="51" t="n">
        <x:f>B7*'01_ZALOZENIA'!$B$10+(SUM('16_ZATRUDNIENIE'!$H$5:$H$10)+SUM('16_ZATRUDNIENIE'!$J$5:$J$10))*(1+'01_ZALOZENIA'!$B$9)+'04_ZRODLO_KANALY'!$I$9*(1+'01_ZALOZENIA'!$B$6+'01_ZALOZENIA'!$B$20)*'01_ZALOZENIA'!$B$17+12*'01_ZALOZENIA'!$E$28*(1+'01_ZALOZENIA'!$B$18)*(1+'01_ZALOZENIA'!$B$22)+12*SUM('01_ZALOZENIA'!$E$29,'01_ZALOZENIA'!$E$30,'01_ZALOZENIA'!$E$31,'01_ZALOZENIA'!$E$32)*(1+'01_ZALOZENIA'!$B$19)*(1+'01_ZALOZENIA'!$B$22)</x:f>
        <x:v>1099214.8765385633</x:v>
      </x:c>
      <x:c r="C10" s="51" t="n">
        <x:f>C7*'01_ZALOZENIA'!$C$10+(SUM('16_ZATRUDNIENIE'!$H$5:$H$10)+SUM('16_ZATRUDNIENIE'!$J$5:$J$10))*(1+'01_ZALOZENIA'!$C$9)+'04_ZRODLO_KANALY'!$I$9*(1+'01_ZALOZENIA'!$C$6+'01_ZALOZENIA'!$C$20)*'01_ZALOZENIA'!$C$17+12*'01_ZALOZENIA'!$E$28*(1+'01_ZALOZENIA'!$C$18)*(1+'01_ZALOZENIA'!$C$22)+12*SUM('01_ZALOZENIA'!$E$29,'01_ZALOZENIA'!$E$30,'01_ZALOZENIA'!$E$31,'01_ZALOZENIA'!$E$32)*(1+'01_ZALOZENIA'!$C$19)*(1+'01_ZALOZENIA'!$C$22)</x:f>
        <x:v>1136798.2037014293</x:v>
      </x:c>
      <x:c r="D10" s="51" t="n">
        <x:f>D7*'01_ZALOZENIA'!$D$10+(SUM('16_ZATRUDNIENIE'!$H$5:$H$10)+SUM('16_ZATRUDNIENIE'!$J$5:$J$10))*(1+'01_ZALOZENIA'!$D$9)+'04_ZRODLO_KANALY'!$I$9*(1+'01_ZALOZENIA'!$D$6+'01_ZALOZENIA'!$D$20)*'01_ZALOZENIA'!$D$17+12*'01_ZALOZENIA'!$E$28*(1+'01_ZALOZENIA'!$D$18)*(1+'01_ZALOZENIA'!$D$22)+12*SUM('01_ZALOZENIA'!$E$29,'01_ZALOZENIA'!$E$30,'01_ZALOZENIA'!$E$31,'01_ZALOZENIA'!$E$32)*(1+'01_ZALOZENIA'!$D$19)*(1+'01_ZALOZENIA'!$D$22)</x:f>
        <x:v>1079013.732418878</x:v>
      </x:c>
      <x:c r="E10" s="27" t="str">
        <x:v>PLN</x:v>
      </x:c>
      <x:c r="F10" s="29" t="str">
        <x:v>Marketing + płace + logistyka + koszty stałe</x:v>
      </x:c>
    </x:row>
    <x:row r="11">
      <x:c r="A11" s="85" t="str">
        <x:v>EBITDA</x:v>
      </x:c>
      <x:c r="B11" s="91" t="n">
        <x:f>B9-B10</x:f>
        <x:v>259433.56006122683</x:v>
      </x:c>
      <x:c r="C11" s="91" t="n">
        <x:f>C9-C10</x:f>
        <x:v>518005.59998748987</x:v>
      </x:c>
      <x:c r="D11" s="91" t="n">
        <x:f>D9-D10</x:f>
        <x:v>-204354.69674810674</x:v>
      </x:c>
      <x:c r="E11" s="85" t="str">
        <x:v>PLN</x:v>
      </x:c>
      <x:c r="F11" s="94" t="str">
        <x:v>Marża brutto − OPEX</x:v>
      </x:c>
    </x:row>
    <x:row r="12">
      <x:c r="A12" s="85" t="str">
        <x:v>Marża EBITDA</x:v>
      </x:c>
      <x:c r="B12" s="92" t="n">
        <x:f>IFERROR(B11/B7,0)</x:f>
        <x:v>0.07076223519853937</x:v>
      </x:c>
      <x:c r="C12" s="92" t="n">
        <x:f>IFERROR(C11/C7,0)</x:f>
        <x:v>0.12517516860791175</x:v>
      </x:c>
      <x:c r="D12" s="92" t="n">
        <x:f>IFERROR(D11/D7,0)</x:f>
        <x:v>-0.07179861958181866</x:v>
      </x:c>
      <x:c r="E12" s="85" t="str">
        <x:v>%</x:v>
      </x:c>
      <x:c r="F12" s="94" t="str">
        <x:v>EBITDA / przychód netto</x:v>
      </x:c>
    </x:row>
    <x:row r="13">
      <x:c r="A13" s="24" t="str">
        <x:v>Amortyzacja</x:v>
      </x:c>
      <x:c r="B13" s="53" t="n">
        <x:f>'17_CAPEX'!$N$31</x:f>
        <x:v>91416.66666666666</x:v>
      </x:c>
      <x:c r="C13" s="53" t="n">
        <x:f>'17_CAPEX'!$N$31</x:f>
        <x:v>91416.66666666666</x:v>
      </x:c>
      <x:c r="D13" s="53" t="n">
        <x:f>'17_CAPEX'!$N$31</x:f>
        <x:v>91416.66666666666</x:v>
      </x:c>
      <x:c r="E13" s="24" t="str">
        <x:v>PLN</x:v>
      </x:c>
      <x:c r="F13" s="28" t="str">
        <x:v>Harmonogram CAPEX</x:v>
      </x:c>
    </x:row>
    <x:row r="14">
      <x:c r="A14" s="27" t="str">
        <x:v>EBIT</x:v>
      </x:c>
      <x:c r="B14" s="51" t="n">
        <x:f>B11-B13</x:f>
        <x:v>168016.89339456017</x:v>
      </x:c>
      <x:c r="C14" s="51" t="n">
        <x:f>C11-C13</x:f>
        <x:v>426588.93332082324</x:v>
      </x:c>
      <x:c r="D14" s="51" t="n">
        <x:f>D11-D13</x:f>
        <x:v>-295771.36341477337</x:v>
      </x:c>
      <x:c r="E14" s="27" t="str">
        <x:v>PLN</x:v>
      </x:c>
      <x:c r="F14" s="29" t="str">
        <x:v>EBITDA − amortyzacja</x:v>
      </x:c>
    </x:row>
    <x:row r="15">
      <x:c r="A15" s="24" t="str">
        <x:v>Odsetki</x:v>
      </x:c>
      <x:c r="B15" s="53" t="n">
        <x:f>'01_ZALOZENIA'!$B$23*12</x:f>
        <x:v>60000</x:v>
      </x:c>
      <x:c r="C15" s="53" t="n">
        <x:f>'01_ZALOZENIA'!$C$23*12</x:f>
        <x:v>60000</x:v>
      </x:c>
      <x:c r="D15" s="53" t="n">
        <x:f>'01_ZALOZENIA'!$D$23*12</x:f>
        <x:v>66000</x:v>
      </x:c>
      <x:c r="E15" s="24" t="str">
        <x:v>PLN</x:v>
      </x:c>
      <x:c r="F15" s="28" t="str">
        <x:v>Miesięczna kwota × 12</x:v>
      </x:c>
    </x:row>
    <x:row r="16">
      <x:c r="A16" s="27" t="str">
        <x:v>EBT</x:v>
      </x:c>
      <x:c r="B16" s="51" t="n">
        <x:f>B14-B15</x:f>
        <x:v>108016.89339456017</x:v>
      </x:c>
      <x:c r="C16" s="51" t="n">
        <x:f>C14-C15</x:f>
        <x:v>366588.93332082324</x:v>
      </x:c>
      <x:c r="D16" s="51" t="n">
        <x:f>D14-D15</x:f>
        <x:v>-361771.36341477337</x:v>
      </x:c>
      <x:c r="E16" s="27" t="str">
        <x:v>PLN</x:v>
      </x:c>
      <x:c r="F16" s="29" t="str">
        <x:v>EBIT − odsetki</x:v>
      </x:c>
    </x:row>
    <x:row r="17">
      <x:c r="A17" s="24" t="str">
        <x:v>Podatek</x:v>
      </x:c>
      <x:c r="B17" s="53" t="n">
        <x:f>MAX(0,B16*'01_ZALOZENIA'!$B$11)</x:f>
        <x:v>20523.209744966432</x:v>
      </x:c>
      <x:c r="C17" s="53" t="n">
        <x:f>MAX(0,C16*'01_ZALOZENIA'!$C$11)</x:f>
        <x:v>69651.89733095642</x:v>
      </x:c>
      <x:c r="D17" s="53" t="n">
        <x:f>MAX(0,D16*'01_ZALOZENIA'!$D$11)</x:f>
        <x:v>0</x:v>
      </x:c>
      <x:c r="E17" s="24" t="str">
        <x:v>PLN</x:v>
      </x:c>
      <x:c r="F17" s="28" t="str">
        <x:v>Podatek od dodatniego EBT</x:v>
      </x:c>
    </x:row>
    <x:row r="18">
      <x:c r="A18" s="27" t="str">
        <x:v>Zysk netto</x:v>
      </x:c>
      <x:c r="B18" s="51" t="n">
        <x:f>B16-B17</x:f>
        <x:v>87493.68364959375</x:v>
      </x:c>
      <x:c r="C18" s="51" t="n">
        <x:f>C16-C17</x:f>
        <x:v>296937.0359898668</x:v>
      </x:c>
      <x:c r="D18" s="51" t="n">
        <x:f>D16-D17</x:f>
        <x:v>-361771.36341477337</x:v>
      </x:c>
      <x:c r="E18" s="27" t="str">
        <x:v>PLN</x:v>
      </x:c>
      <x:c r="F18" s="29" t="str">
        <x:v>EBT − podatek</x:v>
      </x:c>
    </x:row>
    <x:row r="19">
      <x:c r="A19" s="24" t="str">
        <x:v>FCF po odsetkach</x:v>
      </x:c>
      <x:c r="B19" s="53" t="n">
        <x:f>B11-B17-(((B7*('12_PLAN_2026'!$M$7/'12_PLAN_2026'!$N$7))*'01_ZALOZENIA'!$B$12/30+(B8*('12_PLAN_2026'!$M$8/'12_PLAN_2026'!$N$8))*'01_ZALOZENIA'!$B$13/30-(B8*('12_PLAN_2026'!$M$8/'12_PLAN_2026'!$N$8))*'01_ZALOZENIA'!$B$14/30)-('06_SPRZEDAZ_WYKONANIE'!$E$16*'01_ZALOZENIA'!$B$12/30+'06_SPRZEDAZ_WYKONANIE'!$G$16*'01_ZALOZENIA'!$B$13/30-'06_SPRZEDAZ_WYKONANIE'!$G$16*'01_ZALOZENIA'!$B$14/30))-'17_CAPEX'!$N$32-B15</x:f>
        <x:v>-130088.57693724867</x:v>
      </x:c>
      <x:c r="C19" s="53" t="n">
        <x:f>C11-C17-(((C7*('12_PLAN_2026'!$M$7/'12_PLAN_2026'!$N$7))*'01_ZALOZENIA'!$C$12/30+(C8*('12_PLAN_2026'!$M$8/'12_PLAN_2026'!$N$8))*'01_ZALOZENIA'!$C$13/30-(C8*('12_PLAN_2026'!$M$8/'12_PLAN_2026'!$N$8))*'01_ZALOZENIA'!$C$14/30)-('06_SPRZEDAZ_WYKONANIE'!$E$16*'01_ZALOZENIA'!$B$12/30+'06_SPRZEDAZ_WYKONANIE'!$G$16*'01_ZALOZENIA'!$B$13/30-'06_SPRZEDAZ_WYKONANIE'!$G$16*'01_ZALOZENIA'!$B$14/30))-'17_CAPEX'!$N$32-C15</x:f>
        <x:v>135472.13422823546</x:v>
      </x:c>
      <x:c r="D19" s="53" t="n">
        <x:f>D11-D17-(((D7*('12_PLAN_2026'!$M$7/'12_PLAN_2026'!$N$7))*'01_ZALOZENIA'!$D$12/30+(D8*('12_PLAN_2026'!$M$8/'12_PLAN_2026'!$N$8))*'01_ZALOZENIA'!$D$13/30-(D8*('12_PLAN_2026'!$M$8/'12_PLAN_2026'!$N$8))*'01_ZALOZENIA'!$D$14/30)-('06_SPRZEDAZ_WYKONANIE'!$E$16*'01_ZALOZENIA'!$B$12/30+'06_SPRZEDAZ_WYKONANIE'!$G$16*'01_ZALOZENIA'!$B$13/30-'06_SPRZEDAZ_WYKONANIE'!$G$16*'01_ZALOZENIA'!$B$14/30))-'17_CAPEX'!$N$32-D15</x:f>
        <x:v>-652030.9775406043</x:v>
      </x:c>
      <x:c r="E19" s="24" t="str">
        <x:v>PLN</x:v>
      </x:c>
      <x:c r="F19" s="28" t="str">
        <x:v>EBITDA − podatek − ΔNWC − CAPEX − odsetki</x:v>
      </x:c>
    </x:row>
    <x:row r="20">
      <x:c r="A20" s="86" t="str">
        <x:v>Gotówka końcowa</x:v>
      </x:c>
      <x:c r="B20" s="93" t="n">
        <x:f>'01_ZALOZENIA'!$B$15+B19</x:f>
        <x:v>369911.4230627513</x:v>
      </x:c>
      <x:c r="C20" s="93" t="n">
        <x:f>'01_ZALOZENIA'!$C$15+C19</x:f>
        <x:v>635472.1342282355</x:v>
      </x:c>
      <x:c r="D20" s="93" t="n">
        <x:f>'01_ZALOZENIA'!$D$15+D19</x:f>
        <x:v>-152030.9775406043</x:v>
      </x:c>
      <x:c r="E20" s="86" t="str">
        <x:v>PLN</x:v>
      </x:c>
      <x:c r="F20" s="95" t="str">
        <x:v>Gotówka początkowa + FCF</x:v>
      </x:c>
    </x:row>
    <x:row r="21">
      <x:c r="A21" s="210"/>
      <x:c r="B21" s="210"/>
      <x:c r="C21" s="210"/>
      <x:c r="D21" s="210"/>
      <x:c r="E21" s="210"/>
      <x:c r="F21" s="210"/>
    </x:row>
    <x:row r="22">
      <x:c r="A22" s="210"/>
      <x:c r="B22" s="210"/>
      <x:c r="C22" s="210"/>
      <x:c r="D22" s="210"/>
      <x:c r="E22" s="210"/>
      <x:c r="F22" s="210"/>
    </x:row>
    <x:row r="23" ht="23" customHeight="1">
      <x:c r="A23" s="16" t="str">
        <x:v>Macierz wrażliwości EBITDA - wolumen vs inflacja KWS</x:v>
      </x:c>
      <x:c r="B23" s="16" t="str">
        <x:v>Macierz wrażliwości EBITDA - wolumen vs inflacja KWS</x:v>
      </x:c>
      <x:c r="C23" s="16" t="str">
        <x:v>Macierz wrażliwości EBITDA - wolumen vs inflacja KWS</x:v>
      </x:c>
      <x:c r="D23" s="16" t="str">
        <x:v>Macierz wrażliwości EBITDA - wolumen vs inflacja KWS</x:v>
      </x:c>
      <x:c r="E23" s="16" t="str">
        <x:v>Macierz wrażliwości EBITDA - wolumen vs inflacja KWS</x:v>
      </x:c>
      <x:c r="F23" s="16" t="str">
        <x:v>Macierz wrażliwości EBITDA - wolumen vs inflacja KWS</x:v>
      </x:c>
    </x:row>
    <x:row r="24" ht="35" customHeight="1">
      <x:c r="A24" s="103" t="str">
        <x:v>Macierz wykorzystuje bazowy wzrost ceny oraz bazowe parametry OPEX. Nagłówki wierszy i kolumn są widocznymi osiami testu, nie ukrytymi stałymi.</x:v>
      </x:c>
      <x:c r="B24" s="104" t="str">
        <x:v>Macierz wykorzystuje bazowy wzrost ceny oraz bazowe parametry OPEX. Nagłówki wierszy i kolumn są widocznymi osiami testu, nie ukrytymi stałymi.</x:v>
      </x:c>
      <x:c r="C24" s="104" t="str">
        <x:v>Macierz wykorzystuje bazowy wzrost ceny oraz bazowe parametry OPEX. Nagłówki wierszy i kolumn są widocznymi osiami testu, nie ukrytymi stałymi.</x:v>
      </x:c>
      <x:c r="D24" s="104" t="str">
        <x:v>Macierz wykorzystuje bazowy wzrost ceny oraz bazowe parametry OPEX. Nagłówki wierszy i kolumn są widocznymi osiami testu, nie ukrytymi stałymi.</x:v>
      </x:c>
      <x:c r="E24" s="104" t="str">
        <x:v>Macierz wykorzystuje bazowy wzrost ceny oraz bazowe parametry OPEX. Nagłówki wierszy i kolumn są widocznymi osiami testu, nie ukrytymi stałymi.</x:v>
      </x:c>
      <x:c r="F24" s="105" t="str">
        <x:v>Macierz wykorzystuje bazowy wzrost ceny oraz bazowe parametry OPEX. Nagłówki wierszy i kolumn są widocznymi osiami testu, nie ukrytymi stałymi.</x:v>
      </x:c>
    </x:row>
    <x:row r="25">
      <x:c r="A25" s="210"/>
      <x:c r="B25" s="210"/>
      <x:c r="C25" s="210"/>
      <x:c r="D25" s="210"/>
      <x:c r="E25" s="210"/>
      <x:c r="F25" s="210"/>
    </x:row>
    <x:row r="26" ht="32" customHeight="1">
      <x:c r="A26" s="21" t="str">
        <x:v>Zmiana wolumenu / inflacja KWS</x:v>
      </x:c>
      <x:c r="B26" s="109" t="n">
        <x:v>0</x:v>
      </x:c>
      <x:c r="C26" s="109" t="n">
        <x:v>0.05</x:v>
      </x:c>
      <x:c r="D26" s="109" t="n">
        <x:v>0.1</x:v>
      </x:c>
      <x:c r="E26" s="109" t="n">
        <x:v>0.15</x:v>
      </x:c>
      <x:c r="F26" s="109" t="n">
        <x:v>0.2</x:v>
      </x:c>
    </x:row>
    <x:row r="27">
      <x:c r="A27" s="47" t="n">
        <x:v>-0.1</x:v>
      </x:c>
      <x:c r="B27" s="53" t="n">
        <x:f>(('06_SPRZEDAZ_WYKONANIE'!$B$18*(1+$A27)*(1+'01_ZALOZENIA'!$B$7+'01_ZALOZENIA'!$B$21))*(1-'01_ZALOZENIA'!$B$25))-('06_SPRZEDAZ_WYKONANIE'!$G$18*(1+$A27)*(1+B$26))-((('06_SPRZEDAZ_WYKONANIE'!$B$18*(1+$A27)*(1+'01_ZALOZENIA'!$B$7+'01_ZALOZENIA'!$B$21))*(1-'01_ZALOZENIA'!$B$25))*'01_ZALOZENIA'!$B$10+(SUM('16_ZATRUDNIENIE'!$H$5:$H$10)+SUM('16_ZATRUDNIENIE'!$J$5:$J$10))*(1+'01_ZALOZENIA'!$B$9)+'04_ZRODLO_KANALY'!$I$9*(1+$A27)*'01_ZALOZENIA'!$B$17+12*'01_ZALOZENIA'!$E$28*(1+'01_ZALOZENIA'!$B$18)*(1+'01_ZALOZENIA'!$B$22)+12*SUM('01_ZALOZENIA'!$E$29,'01_ZALOZENIA'!$E$30,'01_ZALOZENIA'!$E$31,'01_ZALOZENIA'!$E$32)*(1+'01_ZALOZENIA'!$B$19)*(1+'01_ZALOZENIA'!$B$22))</x:f>
        <x:v>205426.65129611804</x:v>
      </x:c>
      <x:c r="C27" s="53" t="n">
        <x:f>(('06_SPRZEDAZ_WYKONANIE'!$B$18*(1+$A27)*(1+'01_ZALOZENIA'!$B$7+'01_ZALOZENIA'!$B$21))*(1-'01_ZALOZENIA'!$B$25))-('06_SPRZEDAZ_WYKONANIE'!$G$18*(1+$A27)*(1+C$26))-((('06_SPRZEDAZ_WYKONANIE'!$B$18*(1+$A27)*(1+'01_ZALOZENIA'!$B$7+'01_ZALOZENIA'!$B$21))*(1-'01_ZALOZENIA'!$B$25))*'01_ZALOZENIA'!$B$10+(SUM('16_ZATRUDNIENIE'!$H$5:$H$10)+SUM('16_ZATRUDNIENIE'!$J$5:$J$10))*(1+'01_ZALOZENIA'!$B$9)+'04_ZRODLO_KANALY'!$I$9*(1+$A27)*'01_ZALOZENIA'!$B$17+12*'01_ZALOZENIA'!$E$28*(1+'01_ZALOZENIA'!$B$18)*(1+'01_ZALOZENIA'!$B$22)+12*SUM('01_ZALOZENIA'!$E$29,'01_ZALOZENIA'!$E$30,'01_ZALOZENIA'!$E$31,'01_ZALOZENIA'!$E$32)*(1+'01_ZALOZENIA'!$B$19)*(1+'01_ZALOZENIA'!$B$22))</x:f>
        <x:v>109409.05170398369</x:v>
      </x:c>
      <x:c r="D27" s="53" t="n">
        <x:f>(('06_SPRZEDAZ_WYKONANIE'!$B$18*(1+$A27)*(1+'01_ZALOZENIA'!$B$7+'01_ZALOZENIA'!$B$21))*(1-'01_ZALOZENIA'!$B$25))-('06_SPRZEDAZ_WYKONANIE'!$G$18*(1+$A27)*(1+D$26))-((('06_SPRZEDAZ_WYKONANIE'!$B$18*(1+$A27)*(1+'01_ZALOZENIA'!$B$7+'01_ZALOZENIA'!$B$21))*(1-'01_ZALOZENIA'!$B$25))*'01_ZALOZENIA'!$B$10+(SUM('16_ZATRUDNIENIE'!$H$5:$H$10)+SUM('16_ZATRUDNIENIE'!$J$5:$J$10))*(1+'01_ZALOZENIA'!$B$9)+'04_ZRODLO_KANALY'!$I$9*(1+$A27)*'01_ZALOZENIA'!$B$17+12*'01_ZALOZENIA'!$E$28*(1+'01_ZALOZENIA'!$B$18)*(1+'01_ZALOZENIA'!$B$22)+12*SUM('01_ZALOZENIA'!$E$29,'01_ZALOZENIA'!$E$30,'01_ZALOZENIA'!$E$31,'01_ZALOZENIA'!$E$32)*(1+'01_ZALOZENIA'!$B$19)*(1+'01_ZALOZENIA'!$B$22))</x:f>
        <x:v>13391.452111849561</x:v>
      </x:c>
      <x:c r="E27" s="53" t="n">
        <x:f>(('06_SPRZEDAZ_WYKONANIE'!$B$18*(1+$A27)*(1+'01_ZALOZENIA'!$B$7+'01_ZALOZENIA'!$B$21))*(1-'01_ZALOZENIA'!$B$25))-('06_SPRZEDAZ_WYKONANIE'!$G$18*(1+$A27)*(1+E$26))-((('06_SPRZEDAZ_WYKONANIE'!$B$18*(1+$A27)*(1+'01_ZALOZENIA'!$B$7+'01_ZALOZENIA'!$B$21))*(1-'01_ZALOZENIA'!$B$25))*'01_ZALOZENIA'!$B$10+(SUM('16_ZATRUDNIENIE'!$H$5:$H$10)+SUM('16_ZATRUDNIENIE'!$J$5:$J$10))*(1+'01_ZALOZENIA'!$B$9)+'04_ZRODLO_KANALY'!$I$9*(1+$A27)*'01_ZALOZENIA'!$B$17+12*'01_ZALOZENIA'!$E$28*(1+'01_ZALOZENIA'!$B$18)*(1+'01_ZALOZENIA'!$B$22)+12*SUM('01_ZALOZENIA'!$E$29,'01_ZALOZENIA'!$E$30,'01_ZALOZENIA'!$E$31,'01_ZALOZENIA'!$E$32)*(1+'01_ZALOZENIA'!$B$19)*(1+'01_ZALOZENIA'!$B$22))</x:f>
        <x:v>-82626.14748028433</x:v>
      </x:c>
      <x:c r="F27" s="53" t="n">
        <x:f>(('06_SPRZEDAZ_WYKONANIE'!$B$18*(1+$A27)*(1+'01_ZALOZENIA'!$B$7+'01_ZALOZENIA'!$B$21))*(1-'01_ZALOZENIA'!$B$25))-('06_SPRZEDAZ_WYKONANIE'!$G$18*(1+$A27)*(1+F$26))-((('06_SPRZEDAZ_WYKONANIE'!$B$18*(1+$A27)*(1+'01_ZALOZENIA'!$B$7+'01_ZALOZENIA'!$B$21))*(1-'01_ZALOZENIA'!$B$25))*'01_ZALOZENIA'!$B$10+(SUM('16_ZATRUDNIENIE'!$H$5:$H$10)+SUM('16_ZATRUDNIENIE'!$J$5:$J$10))*(1+'01_ZALOZENIA'!$B$9)+'04_ZRODLO_KANALY'!$I$9*(1+$A27)*'01_ZALOZENIA'!$B$17+12*'01_ZALOZENIA'!$E$28*(1+'01_ZALOZENIA'!$B$18)*(1+'01_ZALOZENIA'!$B$22)+12*SUM('01_ZALOZENIA'!$E$29,'01_ZALOZENIA'!$E$30,'01_ZALOZENIA'!$E$31,'01_ZALOZENIA'!$E$32)*(1+'01_ZALOZENIA'!$B$19)*(1+'01_ZALOZENIA'!$B$22))</x:f>
        <x:v>-178643.7470724187</x:v>
      </x:c>
    </x:row>
    <x:row r="28">
      <x:c r="A28" s="49" t="n">
        <x:v>-0.05</x:v>
      </x:c>
      <x:c r="B28" s="51" t="n">
        <x:f>(('06_SPRZEDAZ_WYKONANIE'!$B$18*(1+$A28)*(1+'01_ZALOZENIA'!$B$7+'01_ZALOZENIA'!$B$21))*(1-'01_ZALOZENIA'!$B$25))-('06_SPRZEDAZ_WYKONANIE'!$G$18*(1+$A28)*(1+B$26))-((('06_SPRZEDAZ_WYKONANIE'!$B$18*(1+$A28)*(1+'01_ZALOZENIA'!$B$7+'01_ZALOZENIA'!$B$21))*(1-'01_ZALOZENIA'!$B$25))*'01_ZALOZENIA'!$B$10+(SUM('16_ZATRUDNIENIE'!$H$5:$H$10)+SUM('16_ZATRUDNIENIE'!$J$5:$J$10))*(1+'01_ZALOZENIA'!$B$9)+'04_ZRODLO_KANALY'!$I$9*(1+$A28)*'01_ZALOZENIA'!$B$17+12*'01_ZALOZENIA'!$E$28*(1+'01_ZALOZENIA'!$B$18)*(1+'01_ZALOZENIA'!$B$22)+12*SUM('01_ZALOZENIA'!$E$29,'01_ZALOZENIA'!$E$30,'01_ZALOZENIA'!$E$31,'01_ZALOZENIA'!$E$32)*(1+'01_ZALOZENIA'!$B$19)*(1+'01_ZALOZENIA'!$B$22))</x:f>
        <x:v>268462.69636812457</x:v>
      </x:c>
      <x:c r="C28" s="51" t="n">
        <x:f>(('06_SPRZEDAZ_WYKONANIE'!$B$18*(1+$A28)*(1+'01_ZALOZENIA'!$B$7+'01_ZALOZENIA'!$B$21))*(1-'01_ZALOZENIA'!$B$25))-('06_SPRZEDAZ_WYKONANIE'!$G$18*(1+$A28)*(1+C$26))-((('06_SPRZEDAZ_WYKONANIE'!$B$18*(1+$A28)*(1+'01_ZALOZENIA'!$B$7+'01_ZALOZENIA'!$B$21))*(1-'01_ZALOZENIA'!$B$25))*'01_ZALOZENIA'!$B$10+(SUM('16_ZATRUDNIENIE'!$H$5:$H$10)+SUM('16_ZATRUDNIENIE'!$J$5:$J$10))*(1+'01_ZALOZENIA'!$B$9)+'04_ZRODLO_KANALY'!$I$9*(1+$A28)*'01_ZALOZENIA'!$B$17+12*'01_ZALOZENIA'!$E$28*(1+'01_ZALOZENIA'!$B$18)*(1+'01_ZALOZENIA'!$B$22)+12*SUM('01_ZALOZENIA'!$E$29,'01_ZALOZENIA'!$E$30,'01_ZALOZENIA'!$E$31,'01_ZALOZENIA'!$E$32)*(1+'01_ZALOZENIA'!$B$19)*(1+'01_ZALOZENIA'!$B$22))</x:f>
        <x:v>167110.78568753856</x:v>
      </x:c>
      <x:c r="D28" s="51" t="n">
        <x:f>(('06_SPRZEDAZ_WYKONANIE'!$B$18*(1+$A28)*(1+'01_ZALOZENIA'!$B$7+'01_ZALOZENIA'!$B$21))*(1-'01_ZALOZENIA'!$B$25))-('06_SPRZEDAZ_WYKONANIE'!$G$18*(1+$A28)*(1+D$26))-((('06_SPRZEDAZ_WYKONANIE'!$B$18*(1+$A28)*(1+'01_ZALOZENIA'!$B$7+'01_ZALOZENIA'!$B$21))*(1-'01_ZALOZENIA'!$B$25))*'01_ZALOZENIA'!$B$10+(SUM('16_ZATRUDNIENIE'!$H$5:$H$10)+SUM('16_ZATRUDNIENIE'!$J$5:$J$10))*(1+'01_ZALOZENIA'!$B$9)+'04_ZRODLO_KANALY'!$I$9*(1+$A28)*'01_ZALOZENIA'!$B$17+12*'01_ZALOZENIA'!$E$28*(1+'01_ZALOZENIA'!$B$18)*(1+'01_ZALOZENIA'!$B$22)+12*SUM('01_ZALOZENIA'!$E$29,'01_ZALOZENIA'!$E$30,'01_ZALOZENIA'!$E$31,'01_ZALOZENIA'!$E$32)*(1+'01_ZALOZENIA'!$B$19)*(1+'01_ZALOZENIA'!$B$22))</x:f>
        <x:v>65758.87500695209</x:v>
      </x:c>
      <x:c r="E28" s="51" t="n">
        <x:f>(('06_SPRZEDAZ_WYKONANIE'!$B$18*(1+$A28)*(1+'01_ZALOZENIA'!$B$7+'01_ZALOZENIA'!$B$21))*(1-'01_ZALOZENIA'!$B$25))-('06_SPRZEDAZ_WYKONANIE'!$G$18*(1+$A28)*(1+E$26))-((('06_SPRZEDAZ_WYKONANIE'!$B$18*(1+$A28)*(1+'01_ZALOZENIA'!$B$7+'01_ZALOZENIA'!$B$21))*(1-'01_ZALOZENIA'!$B$25))*'01_ZALOZENIA'!$B$10+(SUM('16_ZATRUDNIENIE'!$H$5:$H$10)+SUM('16_ZATRUDNIENIE'!$J$5:$J$10))*(1+'01_ZALOZENIA'!$B$9)+'04_ZRODLO_KANALY'!$I$9*(1+$A28)*'01_ZALOZENIA'!$B$17+12*'01_ZALOZENIA'!$E$28*(1+'01_ZALOZENIA'!$B$18)*(1+'01_ZALOZENIA'!$B$22)+12*SUM('01_ZALOZENIA'!$E$29,'01_ZALOZENIA'!$E$30,'01_ZALOZENIA'!$E$31,'01_ZALOZENIA'!$E$32)*(1+'01_ZALOZENIA'!$B$19)*(1+'01_ZALOZENIA'!$B$22))</x:f>
        <x:v>-35593.035673633916</x:v>
      </x:c>
      <x:c r="F28" s="51" t="n">
        <x:f>(('06_SPRZEDAZ_WYKONANIE'!$B$18*(1+$A28)*(1+'01_ZALOZENIA'!$B$7+'01_ZALOZENIA'!$B$21))*(1-'01_ZALOZENIA'!$B$25))-('06_SPRZEDAZ_WYKONANIE'!$G$18*(1+$A28)*(1+F$26))-((('06_SPRZEDAZ_WYKONANIE'!$B$18*(1+$A28)*(1+'01_ZALOZENIA'!$B$7+'01_ZALOZENIA'!$B$21))*(1-'01_ZALOZENIA'!$B$25))*'01_ZALOZENIA'!$B$10+(SUM('16_ZATRUDNIENIE'!$H$5:$H$10)+SUM('16_ZATRUDNIENIE'!$J$5:$J$10))*(1+'01_ZALOZENIA'!$B$9)+'04_ZRODLO_KANALY'!$I$9*(1+$A28)*'01_ZALOZENIA'!$B$17+12*'01_ZALOZENIA'!$E$28*(1+'01_ZALOZENIA'!$B$18)*(1+'01_ZALOZENIA'!$B$22)+12*SUM('01_ZALOZENIA'!$E$29,'01_ZALOZENIA'!$E$30,'01_ZALOZENIA'!$E$31,'01_ZALOZENIA'!$E$32)*(1+'01_ZALOZENIA'!$B$19)*(1+'01_ZALOZENIA'!$B$22))</x:f>
        <x:v>-136944.94635421992</x:v>
      </x:c>
    </x:row>
    <x:row r="29">
      <x:c r="A29" s="47" t="n">
        <x:v>0</x:v>
      </x:c>
      <x:c r="B29" s="53" t="n">
        <x:f>(('06_SPRZEDAZ_WYKONANIE'!$B$18*(1+$A29)*(1+'01_ZALOZENIA'!$B$7+'01_ZALOZENIA'!$B$21))*(1-'01_ZALOZENIA'!$B$25))-('06_SPRZEDAZ_WYKONANIE'!$G$18*(1+$A29)*(1+B$26))-((('06_SPRZEDAZ_WYKONANIE'!$B$18*(1+$A29)*(1+'01_ZALOZENIA'!$B$7+'01_ZALOZENIA'!$B$21))*(1-'01_ZALOZENIA'!$B$25))*'01_ZALOZENIA'!$B$10+(SUM('16_ZATRUDNIENIE'!$H$5:$H$10)+SUM('16_ZATRUDNIENIE'!$J$5:$J$10))*(1+'01_ZALOZENIA'!$B$9)+'04_ZRODLO_KANALY'!$I$9*(1+$A29)*'01_ZALOZENIA'!$B$17+12*'01_ZALOZENIA'!$E$28*(1+'01_ZALOZENIA'!$B$18)*(1+'01_ZALOZENIA'!$B$22)+12*SUM('01_ZALOZENIA'!$E$29,'01_ZALOZENIA'!$E$30,'01_ZALOZENIA'!$E$31,'01_ZALOZENIA'!$E$32)*(1+'01_ZALOZENIA'!$B$19)*(1+'01_ZALOZENIA'!$B$22))</x:f>
        <x:v>331498.7414401318</x:v>
      </x:c>
      <x:c r="C29" s="53" t="n">
        <x:f>(('06_SPRZEDAZ_WYKONANIE'!$B$18*(1+$A29)*(1+'01_ZALOZENIA'!$B$7+'01_ZALOZENIA'!$B$21))*(1-'01_ZALOZENIA'!$B$25))-('06_SPRZEDAZ_WYKONANIE'!$G$18*(1+$A29)*(1+C$26))-((('06_SPRZEDAZ_WYKONANIE'!$B$18*(1+$A29)*(1+'01_ZALOZENIA'!$B$7+'01_ZALOZENIA'!$B$21))*(1-'01_ZALOZENIA'!$B$25))*'01_ZALOZENIA'!$B$10+(SUM('16_ZATRUDNIENIE'!$H$5:$H$10)+SUM('16_ZATRUDNIENIE'!$J$5:$J$10))*(1+'01_ZALOZENIA'!$B$9)+'04_ZRODLO_KANALY'!$I$9*(1+$A29)*'01_ZALOZENIA'!$B$17+12*'01_ZALOZENIA'!$E$28*(1+'01_ZALOZENIA'!$B$18)*(1+'01_ZALOZENIA'!$B$22)+12*SUM('01_ZALOZENIA'!$E$29,'01_ZALOZENIA'!$E$30,'01_ZALOZENIA'!$E$31,'01_ZALOZENIA'!$E$32)*(1+'01_ZALOZENIA'!$B$19)*(1+'01_ZALOZENIA'!$B$22))</x:f>
        <x:v>224812.51967109367</x:v>
      </x:c>
      <x:c r="D29" s="53" t="n">
        <x:f>(('06_SPRZEDAZ_WYKONANIE'!$B$18*(1+$A29)*(1+'01_ZALOZENIA'!$B$7+'01_ZALOZENIA'!$B$21))*(1-'01_ZALOZENIA'!$B$25))-('06_SPRZEDAZ_WYKONANIE'!$G$18*(1+$A29)*(1+D$26))-((('06_SPRZEDAZ_WYKONANIE'!$B$18*(1+$A29)*(1+'01_ZALOZENIA'!$B$7+'01_ZALOZENIA'!$B$21))*(1-'01_ZALOZENIA'!$B$25))*'01_ZALOZENIA'!$B$10+(SUM('16_ZATRUDNIENIE'!$H$5:$H$10)+SUM('16_ZATRUDNIENIE'!$J$5:$J$10))*(1+'01_ZALOZENIA'!$B$9)+'04_ZRODLO_KANALY'!$I$9*(1+$A29)*'01_ZALOZENIA'!$B$17+12*'01_ZALOZENIA'!$E$28*(1+'01_ZALOZENIA'!$B$18)*(1+'01_ZALOZENIA'!$B$22)+12*SUM('01_ZALOZENIA'!$E$29,'01_ZALOZENIA'!$E$30,'01_ZALOZENIA'!$E$31,'01_ZALOZENIA'!$E$32)*(1+'01_ZALOZENIA'!$B$19)*(1+'01_ZALOZENIA'!$B$22))</x:f>
        <x:v>118126.29790205555</x:v>
      </x:c>
      <x:c r="E29" s="53" t="n">
        <x:f>(('06_SPRZEDAZ_WYKONANIE'!$B$18*(1+$A29)*(1+'01_ZALOZENIA'!$B$7+'01_ZALOZENIA'!$B$21))*(1-'01_ZALOZENIA'!$B$25))-('06_SPRZEDAZ_WYKONANIE'!$G$18*(1+$A29)*(1+E$26))-((('06_SPRZEDAZ_WYKONANIE'!$B$18*(1+$A29)*(1+'01_ZALOZENIA'!$B$7+'01_ZALOZENIA'!$B$21))*(1-'01_ZALOZENIA'!$B$25))*'01_ZALOZENIA'!$B$10+(SUM('16_ZATRUDNIENIE'!$H$5:$H$10)+SUM('16_ZATRUDNIENIE'!$J$5:$J$10))*(1+'01_ZALOZENIA'!$B$9)+'04_ZRODLO_KANALY'!$I$9*(1+$A29)*'01_ZALOZENIA'!$B$17+12*'01_ZALOZENIA'!$E$28*(1+'01_ZALOZENIA'!$B$18)*(1+'01_ZALOZENIA'!$B$22)+12*SUM('01_ZALOZENIA'!$E$29,'01_ZALOZENIA'!$E$30,'01_ZALOZENIA'!$E$31,'01_ZALOZENIA'!$E$32)*(1+'01_ZALOZENIA'!$B$19)*(1+'01_ZALOZENIA'!$B$22))</x:f>
        <x:v>11440.076133017894</x:v>
      </x:c>
      <x:c r="F29" s="53" t="n">
        <x:f>(('06_SPRZEDAZ_WYKONANIE'!$B$18*(1+$A29)*(1+'01_ZALOZENIA'!$B$7+'01_ZALOZENIA'!$B$21))*(1-'01_ZALOZENIA'!$B$25))-('06_SPRZEDAZ_WYKONANIE'!$G$18*(1+$A29)*(1+F$26))-((('06_SPRZEDAZ_WYKONANIE'!$B$18*(1+$A29)*(1+'01_ZALOZENIA'!$B$7+'01_ZALOZENIA'!$B$21))*(1-'01_ZALOZENIA'!$B$25))*'01_ZALOZENIA'!$B$10+(SUM('16_ZATRUDNIENIE'!$H$5:$H$10)+SUM('16_ZATRUDNIENIE'!$J$5:$J$10))*(1+'01_ZALOZENIA'!$B$9)+'04_ZRODLO_KANALY'!$I$9*(1+$A29)*'01_ZALOZENIA'!$B$17+12*'01_ZALOZENIA'!$E$28*(1+'01_ZALOZENIA'!$B$18)*(1+'01_ZALOZENIA'!$B$22)+12*SUM('01_ZALOZENIA'!$E$29,'01_ZALOZENIA'!$E$30,'01_ZALOZENIA'!$E$31,'01_ZALOZENIA'!$E$32)*(1+'01_ZALOZENIA'!$B$19)*(1+'01_ZALOZENIA'!$B$22))</x:f>
        <x:v>-95246.14563602023</x:v>
      </x:c>
    </x:row>
    <x:row r="30">
      <x:c r="A30" s="49" t="n">
        <x:v>0.05</x:v>
      </x:c>
      <x:c r="B30" s="51" t="n">
        <x:f>(('06_SPRZEDAZ_WYKONANIE'!$B$18*(1+$A30)*(1+'01_ZALOZENIA'!$B$7+'01_ZALOZENIA'!$B$21))*(1-'01_ZALOZENIA'!$B$25))-('06_SPRZEDAZ_WYKONANIE'!$G$18*(1+$A30)*(1+B$26))-((('06_SPRZEDAZ_WYKONANIE'!$B$18*(1+$A30)*(1+'01_ZALOZENIA'!$B$7+'01_ZALOZENIA'!$B$21))*(1-'01_ZALOZENIA'!$B$25))*'01_ZALOZENIA'!$B$10+(SUM('16_ZATRUDNIENIE'!$H$5:$H$10)+SUM('16_ZATRUDNIENIE'!$J$5:$J$10))*(1+'01_ZALOZENIA'!$B$9)+'04_ZRODLO_KANALY'!$I$9*(1+$A30)*'01_ZALOZENIA'!$B$17+12*'01_ZALOZENIA'!$E$28*(1+'01_ZALOZENIA'!$B$18)*(1+'01_ZALOZENIA'!$B$22)+12*SUM('01_ZALOZENIA'!$E$29,'01_ZALOZENIA'!$E$30,'01_ZALOZENIA'!$E$31,'01_ZALOZENIA'!$E$32)*(1+'01_ZALOZENIA'!$B$19)*(1+'01_ZALOZENIA'!$B$22))</x:f>
        <x:v>394534.7865121381</x:v>
      </x:c>
      <x:c r="C30" s="51" t="n">
        <x:f>(('06_SPRZEDAZ_WYKONANIE'!$B$18*(1+$A30)*(1+'01_ZALOZENIA'!$B$7+'01_ZALOZENIA'!$B$21))*(1-'01_ZALOZENIA'!$B$25))-('06_SPRZEDAZ_WYKONANIE'!$G$18*(1+$A30)*(1+C$26))-((('06_SPRZEDAZ_WYKONANIE'!$B$18*(1+$A30)*(1+'01_ZALOZENIA'!$B$7+'01_ZALOZENIA'!$B$21))*(1-'01_ZALOZENIA'!$B$25))*'01_ZALOZENIA'!$B$10+(SUM('16_ZATRUDNIENIE'!$H$5:$H$10)+SUM('16_ZATRUDNIENIE'!$J$5:$J$10))*(1+'01_ZALOZENIA'!$B$9)+'04_ZRODLO_KANALY'!$I$9*(1+$A30)*'01_ZALOZENIA'!$B$17+12*'01_ZALOZENIA'!$E$28*(1+'01_ZALOZENIA'!$B$18)*(1+'01_ZALOZENIA'!$B$22)+12*SUM('01_ZALOZENIA'!$E$29,'01_ZALOZENIA'!$E$30,'01_ZALOZENIA'!$E$31,'01_ZALOZENIA'!$E$32)*(1+'01_ZALOZENIA'!$B$19)*(1+'01_ZALOZENIA'!$B$22))</x:f>
        <x:v>282514.25365464785</x:v>
      </x:c>
      <x:c r="D30" s="51" t="n">
        <x:f>(('06_SPRZEDAZ_WYKONANIE'!$B$18*(1+$A30)*(1+'01_ZALOZENIA'!$B$7+'01_ZALOZENIA'!$B$21))*(1-'01_ZALOZENIA'!$B$25))-('06_SPRZEDAZ_WYKONANIE'!$G$18*(1+$A30)*(1+D$26))-((('06_SPRZEDAZ_WYKONANIE'!$B$18*(1+$A30)*(1+'01_ZALOZENIA'!$B$7+'01_ZALOZENIA'!$B$21))*(1-'01_ZALOZENIA'!$B$25))*'01_ZALOZENIA'!$B$10+(SUM('16_ZATRUDNIENIE'!$H$5:$H$10)+SUM('16_ZATRUDNIENIE'!$J$5:$J$10))*(1+'01_ZALOZENIA'!$B$9)+'04_ZRODLO_KANALY'!$I$9*(1+$A30)*'01_ZALOZENIA'!$B$17+12*'01_ZALOZENIA'!$E$28*(1+'01_ZALOZENIA'!$B$18)*(1+'01_ZALOZENIA'!$B$22)+12*SUM('01_ZALOZENIA'!$E$29,'01_ZALOZENIA'!$E$30,'01_ZALOZENIA'!$E$31,'01_ZALOZENIA'!$E$32)*(1+'01_ZALOZENIA'!$B$19)*(1+'01_ZALOZENIA'!$B$22))</x:f>
        <x:v>170493.72079715808</x:v>
      </x:c>
      <x:c r="E30" s="51" t="n">
        <x:f>(('06_SPRZEDAZ_WYKONANIE'!$B$18*(1+$A30)*(1+'01_ZALOZENIA'!$B$7+'01_ZALOZENIA'!$B$21))*(1-'01_ZALOZENIA'!$B$25))-('06_SPRZEDAZ_WYKONANIE'!$G$18*(1+$A30)*(1+E$26))-((('06_SPRZEDAZ_WYKONANIE'!$B$18*(1+$A30)*(1+'01_ZALOZENIA'!$B$7+'01_ZALOZENIA'!$B$21))*(1-'01_ZALOZENIA'!$B$25))*'01_ZALOZENIA'!$B$10+(SUM('16_ZATRUDNIENIE'!$H$5:$H$10)+SUM('16_ZATRUDNIENIE'!$J$5:$J$10))*(1+'01_ZALOZENIA'!$B$9)+'04_ZRODLO_KANALY'!$I$9*(1+$A30)*'01_ZALOZENIA'!$B$17+12*'01_ZALOZENIA'!$E$28*(1+'01_ZALOZENIA'!$B$18)*(1+'01_ZALOZENIA'!$B$22)+12*SUM('01_ZALOZENIA'!$E$29,'01_ZALOZENIA'!$E$30,'01_ZALOZENIA'!$E$31,'01_ZALOZENIA'!$E$32)*(1+'01_ZALOZENIA'!$B$19)*(1+'01_ZALOZENIA'!$B$22))</x:f>
        <x:v>58473.18793966831</x:v>
      </x:c>
      <x:c r="F30" s="51" t="n">
        <x:f>(('06_SPRZEDAZ_WYKONANIE'!$B$18*(1+$A30)*(1+'01_ZALOZENIA'!$B$7+'01_ZALOZENIA'!$B$21))*(1-'01_ZALOZENIA'!$B$25))-('06_SPRZEDAZ_WYKONANIE'!$G$18*(1+$A30)*(1+F$26))-((('06_SPRZEDAZ_WYKONANIE'!$B$18*(1+$A30)*(1+'01_ZALOZENIA'!$B$7+'01_ZALOZENIA'!$B$21))*(1-'01_ZALOZENIA'!$B$25))*'01_ZALOZENIA'!$B$10+(SUM('16_ZATRUDNIENIE'!$H$5:$H$10)+SUM('16_ZATRUDNIENIE'!$J$5:$J$10))*(1+'01_ZALOZENIA'!$B$9)+'04_ZRODLO_KANALY'!$I$9*(1+$A30)*'01_ZALOZENIA'!$B$17+12*'01_ZALOZENIA'!$E$28*(1+'01_ZALOZENIA'!$B$18)*(1+'01_ZALOZENIA'!$B$22)+12*SUM('01_ZALOZENIA'!$E$29,'01_ZALOZENIA'!$E$30,'01_ZALOZENIA'!$E$31,'01_ZALOZENIA'!$E$32)*(1+'01_ZALOZENIA'!$B$19)*(1+'01_ZALOZENIA'!$B$22))</x:f>
        <x:v>-53547.344917821465</x:v>
      </x:c>
    </x:row>
    <x:row r="31">
      <x:c r="A31" s="47" t="n">
        <x:v>0.1</x:v>
      </x:c>
      <x:c r="B31" s="53" t="n">
        <x:f>(('06_SPRZEDAZ_WYKONANIE'!$B$18*(1+$A31)*(1+'01_ZALOZENIA'!$B$7+'01_ZALOZENIA'!$B$21))*(1-'01_ZALOZENIA'!$B$25))-('06_SPRZEDAZ_WYKONANIE'!$G$18*(1+$A31)*(1+B$26))-((('06_SPRZEDAZ_WYKONANIE'!$B$18*(1+$A31)*(1+'01_ZALOZENIA'!$B$7+'01_ZALOZENIA'!$B$21))*(1-'01_ZALOZENIA'!$B$25))*'01_ZALOZENIA'!$B$10+(SUM('16_ZATRUDNIENIE'!$H$5:$H$10)+SUM('16_ZATRUDNIENIE'!$J$5:$J$10))*(1+'01_ZALOZENIA'!$B$9)+'04_ZRODLO_KANALY'!$I$9*(1+$A31)*'01_ZALOZENIA'!$B$17+12*'01_ZALOZENIA'!$E$28*(1+'01_ZALOZENIA'!$B$18)*(1+'01_ZALOZENIA'!$B$22)+12*SUM('01_ZALOZENIA'!$E$29,'01_ZALOZENIA'!$E$30,'01_ZALOZENIA'!$E$31,'01_ZALOZENIA'!$E$32)*(1+'01_ZALOZENIA'!$B$19)*(1+'01_ZALOZENIA'!$B$22))</x:f>
        <x:v>457570.83158414485</x:v>
      </x:c>
      <x:c r="C31" s="53" t="n">
        <x:f>(('06_SPRZEDAZ_WYKONANIE'!$B$18*(1+$A31)*(1+'01_ZALOZENIA'!$B$7+'01_ZALOZENIA'!$B$21))*(1-'01_ZALOZENIA'!$B$25))-('06_SPRZEDAZ_WYKONANIE'!$G$18*(1+$A31)*(1+C$26))-((('06_SPRZEDAZ_WYKONANIE'!$B$18*(1+$A31)*(1+'01_ZALOZENIA'!$B$7+'01_ZALOZENIA'!$B$21))*(1-'01_ZALOZENIA'!$B$25))*'01_ZALOZENIA'!$B$10+(SUM('16_ZATRUDNIENIE'!$H$5:$H$10)+SUM('16_ZATRUDNIENIE'!$J$5:$J$10))*(1+'01_ZALOZENIA'!$B$9)+'04_ZRODLO_KANALY'!$I$9*(1+$A31)*'01_ZALOZENIA'!$B$17+12*'01_ZALOZENIA'!$E$28*(1+'01_ZALOZENIA'!$B$18)*(1+'01_ZALOZENIA'!$B$22)+12*SUM('01_ZALOZENIA'!$E$29,'01_ZALOZENIA'!$E$30,'01_ZALOZENIA'!$E$31,'01_ZALOZENIA'!$E$32)*(1+'01_ZALOZENIA'!$B$19)*(1+'01_ZALOZENIA'!$B$22))</x:f>
        <x:v>340215.98763820296</x:v>
      </x:c>
      <x:c r="D31" s="53" t="n">
        <x:f>(('06_SPRZEDAZ_WYKONANIE'!$B$18*(1+$A31)*(1+'01_ZALOZENIA'!$B$7+'01_ZALOZENIA'!$B$21))*(1-'01_ZALOZENIA'!$B$25))-('06_SPRZEDAZ_WYKONANIE'!$G$18*(1+$A31)*(1+D$26))-((('06_SPRZEDAZ_WYKONANIE'!$B$18*(1+$A31)*(1+'01_ZALOZENIA'!$B$7+'01_ZALOZENIA'!$B$21))*(1-'01_ZALOZENIA'!$B$25))*'01_ZALOZENIA'!$B$10+(SUM('16_ZATRUDNIENIE'!$H$5:$H$10)+SUM('16_ZATRUDNIENIE'!$J$5:$J$10))*(1+'01_ZALOZENIA'!$B$9)+'04_ZRODLO_KANALY'!$I$9*(1+$A31)*'01_ZALOZENIA'!$B$17+12*'01_ZALOZENIA'!$E$28*(1+'01_ZALOZENIA'!$B$18)*(1+'01_ZALOZENIA'!$B$22)+12*SUM('01_ZALOZENIA'!$E$29,'01_ZALOZENIA'!$E$30,'01_ZALOZENIA'!$E$31,'01_ZALOZENIA'!$E$32)*(1+'01_ZALOZENIA'!$B$19)*(1+'01_ZALOZENIA'!$B$22))</x:f>
        <x:v>222861.14369226107</x:v>
      </x:c>
      <x:c r="E31" s="53" t="n">
        <x:f>(('06_SPRZEDAZ_WYKONANIE'!$B$18*(1+$A31)*(1+'01_ZALOZENIA'!$B$7+'01_ZALOZENIA'!$B$21))*(1-'01_ZALOZENIA'!$B$25))-('06_SPRZEDAZ_WYKONANIE'!$G$18*(1+$A31)*(1+E$26))-((('06_SPRZEDAZ_WYKONANIE'!$B$18*(1+$A31)*(1+'01_ZALOZENIA'!$B$7+'01_ZALOZENIA'!$B$21))*(1-'01_ZALOZENIA'!$B$25))*'01_ZALOZENIA'!$B$10+(SUM('16_ZATRUDNIENIE'!$H$5:$H$10)+SUM('16_ZATRUDNIENIE'!$J$5:$J$10))*(1+'01_ZALOZENIA'!$B$9)+'04_ZRODLO_KANALY'!$I$9*(1+$A31)*'01_ZALOZENIA'!$B$17+12*'01_ZALOZENIA'!$E$28*(1+'01_ZALOZENIA'!$B$18)*(1+'01_ZALOZENIA'!$B$22)+12*SUM('01_ZALOZENIA'!$E$29,'01_ZALOZENIA'!$E$30,'01_ZALOZENIA'!$E$31,'01_ZALOZENIA'!$E$32)*(1+'01_ZALOZENIA'!$B$19)*(1+'01_ZALOZENIA'!$B$22))</x:f>
        <x:v>105506.29974631965</x:v>
      </x:c>
      <x:c r="F31" s="53" t="n">
        <x:f>(('06_SPRZEDAZ_WYKONANIE'!$B$18*(1+$A31)*(1+'01_ZALOZENIA'!$B$7+'01_ZALOZENIA'!$B$21))*(1-'01_ZALOZENIA'!$B$25))-('06_SPRZEDAZ_WYKONANIE'!$G$18*(1+$A31)*(1+F$26))-((('06_SPRZEDAZ_WYKONANIE'!$B$18*(1+$A31)*(1+'01_ZALOZENIA'!$B$7+'01_ZALOZENIA'!$B$21))*(1-'01_ZALOZENIA'!$B$25))*'01_ZALOZENIA'!$B$10+(SUM('16_ZATRUDNIENIE'!$H$5:$H$10)+SUM('16_ZATRUDNIENIE'!$J$5:$J$10))*(1+'01_ZALOZENIA'!$B$9)+'04_ZRODLO_KANALY'!$I$9*(1+$A31)*'01_ZALOZENIA'!$B$17+12*'01_ZALOZENIA'!$E$28*(1+'01_ZALOZENIA'!$B$18)*(1+'01_ZALOZENIA'!$B$22)+12*SUM('01_ZALOZENIA'!$E$29,'01_ZALOZENIA'!$E$30,'01_ZALOZENIA'!$E$31,'01_ZALOZENIA'!$E$32)*(1+'01_ZALOZENIA'!$B$19)*(1+'01_ZALOZENIA'!$B$22))</x:f>
        <x:v>-11848.544199622702</x:v>
      </x:c>
    </x:row>
  </x:sheetData>
  <x:mergeCells>
    <x:mergeCell ref="A1:F1"/>
    <x:mergeCell ref="A2:F2"/>
    <x:mergeCell ref="A23:F23"/>
    <x:mergeCell ref="A24:F24"/>
  </x:mergeCells>
  <x:conditionalFormatting sqref="B27:F31">
    <x:cfRule type="colorScale" priority="1">
      <x:colorScale>
        <x:cfvo type="min"/>
        <x:cfvo type="percentile" val="50"/>
        <x:cfvo type="max"/>
        <x:color rgb="FFC00000"/>
        <x:color rgb="FFFFF2CC"/>
        <x:color rgb="FF70AD47"/>
      </x:colorScale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4" hidden="0" customWidth="1"/>
    <x:col min="5" max="5" width="22" hidden="0" customWidth="1"/>
    <x:col min="6" max="6" width="18" hidden="0" customWidth="1"/>
    <x:col min="7" max="7" width="4" hidden="0" customWidth="1"/>
    <x:col min="8" max="8" width="22" hidden="0" customWidth="1"/>
    <x:col min="9" max="9" width="18" hidden="0" customWidth="1"/>
    <x:col min="10" max="10" width="4" hidden="0" customWidth="1"/>
    <x:col min="11" max="11" width="20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3" t="str">
        <x:v>PANEL ZARZĄDCZY - CONTROLLING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42" t="str">
        <x:v>KPI wykonania 2025 po wyłączeniach KONTROLA_* oraz planu 2026 dla aktywnego scenariusza.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</x:row>
    <x:row r="3">
      <x:c r="A3" s="210"/>
      <x:c r="B3" s="210"/>
      <x:c r="C3" s="210"/>
      <x:c r="D3" s="210"/>
      <x:c r="E3" s="210"/>
      <x:c r="F3" s="210"/>
      <x:c r="G3" s="210"/>
      <x:c r="H3" s="210"/>
      <x:c r="I3" s="210"/>
      <x:c r="J3" s="210"/>
      <x:c r="K3" s="210"/>
      <x:c r="L3" s="210"/>
      <x:c r="M3" s="210"/>
      <x:c r="N3" s="210"/>
      <x:c r="O3" s="210"/>
    </x:row>
    <x:row r="4">
      <x:c r="A4" s="119" t="str">
        <x:v>Przychód czysty 2025</x:v>
      </x:c>
      <x:c r="B4" s="119"/>
      <x:c r="C4" s="119"/>
      <x:c r="D4" s="210"/>
      <x:c r="E4" s="119" t="str">
        <x:v>Realizacja budżetu 2025</x:v>
      </x:c>
      <x:c r="F4" s="119"/>
      <x:c r="G4" s="119"/>
      <x:c r="H4" s="210"/>
      <x:c r="I4" s="119" t="str">
        <x:v>Marża EBITDA plan 2026</x:v>
      </x:c>
      <x:c r="J4" s="119"/>
      <x:c r="K4" s="119"/>
      <x:c r="L4" s="210"/>
      <x:c r="M4" s="119" t="str">
        <x:v>Gotówka końcowa 2026</x:v>
      </x:c>
      <x:c r="N4" s="119"/>
      <x:c r="O4" s="119"/>
    </x:row>
    <x:row r="5">
      <x:c r="A5" s="147" t="n">
        <x:f>'06_SPRZEDAZ_WYKONANIE'!B18</x:f>
        <x:v>3514692.0275000003</x:v>
      </x:c>
      <x:c r="B5" s="148"/>
      <x:c r="C5" s="149"/>
      <x:c r="D5" s="210"/>
      <x:c r="E5" s="174" t="n">
        <x:f>'06_SPRZEDAZ_WYKONANIE'!L18</x:f>
        <x:v>0.6434366313290572</x:v>
      </x:c>
      <x:c r="F5" s="175"/>
      <x:c r="G5" s="176"/>
      <x:c r="H5" s="210"/>
      <x:c r="I5" s="174" t="n">
        <x:f>'12_PLAN_2026'!N20</x:f>
        <x:v>0.07076223519853944</x:v>
      </x:c>
      <x:c r="J5" s="175"/>
      <x:c r="K5" s="176"/>
      <x:c r="L5" s="210"/>
      <x:c r="M5" s="147" t="n">
        <x:f>'20_PRZEPLYWY_PIENIEZNE'!N14</x:f>
        <x:v>369911.42306275165</x:v>
      </x:c>
      <x:c r="N5" s="148"/>
      <x:c r="O5" s="149"/>
    </x:row>
    <x:row r="6">
      <x:c r="A6" s="150"/>
      <x:c r="B6" s="151"/>
      <x:c r="C6" s="152"/>
      <x:c r="D6" s="210"/>
      <x:c r="E6" s="177"/>
      <x:c r="F6" s="178"/>
      <x:c r="G6" s="179"/>
      <x:c r="H6" s="210"/>
      <x:c r="I6" s="177"/>
      <x:c r="J6" s="178"/>
      <x:c r="K6" s="179"/>
      <x:c r="L6" s="210"/>
      <x:c r="M6" s="150"/>
      <x:c r="N6" s="151"/>
      <x:c r="O6" s="152"/>
    </x:row>
    <x:row r="7">
      <x:c r="A7" s="153"/>
      <x:c r="B7" s="154"/>
      <x:c r="C7" s="155"/>
      <x:c r="D7" s="210"/>
      <x:c r="E7" s="180"/>
      <x:c r="F7" s="181"/>
      <x:c r="G7" s="182"/>
      <x:c r="H7" s="210"/>
      <x:c r="I7" s="180"/>
      <x:c r="J7" s="181"/>
      <x:c r="K7" s="182"/>
      <x:c r="L7" s="210"/>
      <x:c r="M7" s="153"/>
      <x:c r="N7" s="154"/>
      <x:c r="O7" s="155"/>
    </x:row>
    <x:row r="8">
      <x:c r="A8" s="210"/>
      <x:c r="B8" s="210"/>
      <x:c r="C8" s="210"/>
      <x:c r="D8" s="210"/>
      <x:c r="E8" s="210"/>
      <x:c r="F8" s="210"/>
      <x:c r="G8" s="210"/>
      <x:c r="H8" s="210"/>
      <x:c r="I8" s="210"/>
      <x:c r="J8" s="210"/>
      <x:c r="K8" s="210"/>
      <x:c r="L8" s="210"/>
      <x:c r="M8" s="210"/>
      <x:c r="N8" s="210"/>
      <x:c r="O8" s="210"/>
    </x:row>
    <x:row r="9">
      <x:c r="A9" s="119" t="str">
        <x:v>Przychód plan 2026</x:v>
      </x:c>
      <x:c r="B9" s="119"/>
      <x:c r="C9" s="119"/>
      <x:c r="D9" s="210"/>
      <x:c r="E9" s="119" t="str">
        <x:v>Wzrost planu vs 2025</x:v>
      </x:c>
      <x:c r="F9" s="119"/>
      <x:c r="G9" s="119"/>
      <x:c r="H9" s="210"/>
      <x:c r="I9" s="119" t="str">
        <x:v>FCF po odsetkach</x:v>
      </x:c>
      <x:c r="J9" s="119"/>
      <x:c r="K9" s="119"/>
      <x:c r="L9" s="210"/>
      <x:c r="M9" s="119" t="str">
        <x:v>Kontrole PASS</x:v>
      </x:c>
      <x:c r="N9" s="119"/>
      <x:c r="O9" s="119"/>
    </x:row>
    <x:row r="10">
      <x:c r="A10" s="147" t="n">
        <x:f>'12_PLAN_2026'!N5</x:f>
        <x:v>3764938.099858001</x:v>
      </x:c>
      <x:c r="B10" s="148"/>
      <x:c r="C10" s="149"/>
      <x:c r="D10" s="210"/>
      <x:c r="E10" s="174" t="n">
        <x:f>IFERROR('12_PLAN_2026'!N5/'06_SPRZEDAZ_WYKONANIE'!B18-1,0)</x:f>
        <x:v>0.07120000000000015</x:v>
      </x:c>
      <x:c r="F10" s="175"/>
      <x:c r="G10" s="176"/>
      <x:c r="H10" s="210"/>
      <x:c r="I10" s="147" t="n">
        <x:f>'20_PRZEPLYWY_PIENIEZNE'!N12</x:f>
        <x:v>-130088.57693724835</x:v>
      </x:c>
      <x:c r="J10" s="148"/>
      <x:c r="K10" s="149"/>
      <x:c r="L10" s="210"/>
      <x:c r="M10" s="201" t="n">
        <x:f>COUNTIF('24_KONTROLE_MODELU'!F5:F24,"PASS")</x:f>
        <x:v>20</x:v>
      </x:c>
      <x:c r="N10" s="202"/>
      <x:c r="O10" s="203"/>
    </x:row>
    <x:row r="11">
      <x:c r="A11" s="150"/>
      <x:c r="B11" s="151"/>
      <x:c r="C11" s="152"/>
      <x:c r="D11" s="210"/>
      <x:c r="E11" s="177"/>
      <x:c r="F11" s="178"/>
      <x:c r="G11" s="179"/>
      <x:c r="H11" s="210"/>
      <x:c r="I11" s="150"/>
      <x:c r="J11" s="151"/>
      <x:c r="K11" s="152"/>
      <x:c r="L11" s="210"/>
      <x:c r="M11" s="204"/>
      <x:c r="N11" s="205"/>
      <x:c r="O11" s="206"/>
    </x:row>
    <x:row r="12">
      <x:c r="A12" s="153"/>
      <x:c r="B12" s="154"/>
      <x:c r="C12" s="155"/>
      <x:c r="D12" s="210"/>
      <x:c r="E12" s="180"/>
      <x:c r="F12" s="181"/>
      <x:c r="G12" s="182"/>
      <x:c r="H12" s="210"/>
      <x:c r="I12" s="153"/>
      <x:c r="J12" s="154"/>
      <x:c r="K12" s="155"/>
      <x:c r="L12" s="210"/>
      <x:c r="M12" s="207"/>
      <x:c r="N12" s="208"/>
      <x:c r="O12" s="209"/>
    </x:row>
    <x:row r="13">
      <x:c r="A13" s="210"/>
      <x:c r="B13" s="210"/>
      <x:c r="C13" s="210"/>
      <x:c r="D13" s="210"/>
      <x:c r="E13" s="210"/>
      <x:c r="F13" s="210"/>
      <x:c r="G13" s="210"/>
      <x:c r="H13" s="210"/>
      <x:c r="I13" s="210"/>
      <x:c r="J13" s="210"/>
      <x:c r="K13" s="210"/>
      <x:c r="L13" s="210"/>
      <x:c r="M13" s="210"/>
      <x:c r="N13" s="210"/>
      <x:c r="O13" s="210"/>
    </x:row>
    <x:row r="14" ht="23" customHeight="1">
      <x:c r="A14" s="16" t="str">
        <x:v>Dane zasilające wykresy</x:v>
      </x:c>
      <x:c r="B14" s="16" t="str">
        <x:v>Dane zasilające wykresy</x:v>
      </x:c>
      <x:c r="C14" s="16" t="str">
        <x:v>Dane zasilające wykresy</x:v>
      </x:c>
      <x:c r="D14" s="16" t="str">
        <x:v>Dane zasilające wykresy</x:v>
      </x:c>
      <x:c r="E14" s="16" t="str">
        <x:v>Dane zasilające wykresy</x:v>
      </x:c>
      <x:c r="F14" s="16" t="str">
        <x:v>Dane zasilające wykresy</x:v>
      </x:c>
      <x:c r="G14" s="16" t="str">
        <x:v>Dane zasilające wykresy</x:v>
      </x:c>
      <x:c r="H14" s="16" t="str">
        <x:v>Dane zasilające wykresy</x:v>
      </x:c>
      <x:c r="I14" s="16" t="str">
        <x:v>Dane zasilające wykresy</x:v>
      </x:c>
      <x:c r="J14" s="16" t="str">
        <x:v>Dane zasilające wykresy</x:v>
      </x:c>
      <x:c r="K14" s="16" t="str">
        <x:v>Dane zasilające wykresy</x:v>
      </x:c>
      <x:c r="L14" s="16" t="str">
        <x:v>Dane zasilające wykresy</x:v>
      </x:c>
      <x:c r="M14" s="16" t="str">
        <x:v>Dane zasilające wykresy</x:v>
      </x:c>
      <x:c r="N14" s="16" t="str">
        <x:v>Dane zasilające wykresy</x:v>
      </x:c>
      <x:c r="O14" s="16" t="str">
        <x:v>Dane zasilające wykresy</x:v>
      </x:c>
    </x:row>
    <x:row r="15" ht="32" customHeight="1">
      <x:c r="A15" s="21" t="str">
        <x:v>Miesiąc</x:v>
      </x:c>
      <x:c r="B15" s="21" t="str">
        <x:v>Wykonanie</x:v>
      </x:c>
      <x:c r="C15" s="21" t="str">
        <x:v>Budżet</x:v>
      </x:c>
      <x:c r="D15" s="210"/>
      <x:c r="E15" s="21" t="str">
        <x:v>Kategoria</x:v>
      </x:c>
      <x:c r="F15" s="21" t="str">
        <x:v>Przychód</x:v>
      </x:c>
      <x:c r="G15" s="210"/>
      <x:c r="H15" s="21" t="str">
        <x:v>Kanał</x:v>
      </x:c>
      <x:c r="I15" s="21" t="str">
        <x:v>Przychód</x:v>
      </x:c>
      <x:c r="J15" s="210"/>
      <x:c r="K15" s="21" t="str">
        <x:v>Scenariusz</x:v>
      </x:c>
      <x:c r="L15" s="21" t="str">
        <x:v>EBITDA</x:v>
      </x:c>
      <x:c r="M15" s="210"/>
      <x:c r="N15" s="210"/>
      <x:c r="O15" s="210"/>
    </x:row>
    <x:row r="16">
      <x:c r="A16" s="24" t="str">
        <x:v>2025-01</x:v>
      </x:c>
      <x:c r="B16" s="53" t="n">
        <x:f>'11_BUDZET_2025'!B5</x:f>
        <x:v>263103.792</x:v>
      </x:c>
      <x:c r="C16" s="53" t="n">
        <x:f>'11_BUDZET_2025'!C5</x:f>
        <x:v>380693.48</x:v>
      </x:c>
      <x:c r="D16" s="210"/>
      <x:c r="E16" s="24" t="str">
        <x:f>'07_KATEGORIE'!A5</x:f>
        <x:v>Dom i kuchnia</x:v>
      </x:c>
      <x:c r="F16" s="53" t="n">
        <x:f>'07_KATEGORIE'!B5</x:f>
        <x:v>800604.7090000003</x:v>
      </x:c>
      <x:c r="G16" s="210"/>
      <x:c r="H16" s="24" t="str">
        <x:f>'08_KANALY'!A5</x:f>
        <x:v>Marketplace</x:v>
      </x:c>
      <x:c r="I16" s="53" t="n">
        <x:f>'08_KANALY'!B5</x:f>
        <x:v>662934.3545000001</x:v>
      </x:c>
      <x:c r="J16" s="210"/>
      <x:c r="K16" s="24" t="str">
        <x:v>Bazowy</x:v>
      </x:c>
      <x:c r="L16" s="53" t="n">
        <x:f>'22_SCENARIUSZE'!B11</x:f>
        <x:v>259433.56006122683</x:v>
      </x:c>
      <x:c r="M16" s="210"/>
      <x:c r="N16" s="210"/>
      <x:c r="O16" s="210"/>
    </x:row>
    <x:row r="17">
      <x:c r="A17" s="27" t="str">
        <x:v>2025-02</x:v>
      </x:c>
      <x:c r="B17" s="51" t="n">
        <x:f>'11_BUDZET_2025'!B6</x:f>
        <x:v>292596.9099999999</x:v>
      </x:c>
      <x:c r="C17" s="51" t="n">
        <x:f>'11_BUDZET_2025'!C6</x:f>
        <x:v>358269.3</x:v>
      </x:c>
      <x:c r="D17" s="210"/>
      <x:c r="E17" s="27" t="str">
        <x:f>'07_KATEGORIE'!A6</x:f>
        <x:v>Biuro</x:v>
      </x:c>
      <x:c r="F17" s="51" t="n">
        <x:f>'07_KATEGORIE'!B6</x:f>
        <x:v>712949.9060000001</x:v>
      </x:c>
      <x:c r="G17" s="210"/>
      <x:c r="H17" s="27" t="str">
        <x:f>'08_KANALY'!A6</x:f>
        <x:v>Sklep online</x:v>
      </x:c>
      <x:c r="I17" s="51" t="n">
        <x:f>'08_KANALY'!B6</x:f>
        <x:v>1447087.3649999984</x:v>
      </x:c>
      <x:c r="J17" s="210"/>
      <x:c r="K17" s="27" t="str">
        <x:v>Optymistyczny</x:v>
      </x:c>
      <x:c r="L17" s="51" t="n">
        <x:f>'22_SCENARIUSZE'!C11</x:f>
        <x:v>518005.59998748987</x:v>
      </x:c>
      <x:c r="M17" s="210"/>
      <x:c r="N17" s="210"/>
      <x:c r="O17" s="210"/>
    </x:row>
    <x:row r="18">
      <x:c r="A18" s="24" t="str">
        <x:v>2025-03</x:v>
      </x:c>
      <x:c r="B18" s="53" t="n">
        <x:f>'11_BUDZET_2025'!B7</x:f>
        <x:v>249726.53900000002</x:v>
      </x:c>
      <x:c r="C18" s="53" t="n">
        <x:f>'11_BUDZET_2025'!C7</x:f>
        <x:v>456500.11000000004</x:v>
      </x:c>
      <x:c r="D18" s="210"/>
      <x:c r="E18" s="24" t="str">
        <x:f>'07_KATEGORIE'!A7</x:f>
        <x:v>Elektronika</x:v>
      </x:c>
      <x:c r="F18" s="53" t="n">
        <x:f>'07_KATEGORIE'!B7</x:f>
        <x:v>736996.1685000003</x:v>
      </x:c>
      <x:c r="G18" s="210"/>
      <x:c r="H18" s="24" t="str">
        <x:f>'08_KANALY'!A7</x:f>
        <x:v>Sklep stacjonarny</x:v>
      </x:c>
      <x:c r="I18" s="53" t="n">
        <x:f>'08_KANALY'!B7</x:f>
        <x:v>549296.5900000003</x:v>
      </x:c>
      <x:c r="J18" s="210"/>
      <x:c r="K18" s="24" t="str">
        <x:v>Pesymistyczny</x:v>
      </x:c>
      <x:c r="L18" s="53" t="n">
        <x:f>'22_SCENARIUSZE'!D11</x:f>
        <x:v>-204354.69674810674</x:v>
      </x:c>
      <x:c r="M18" s="210"/>
      <x:c r="N18" s="210"/>
      <x:c r="O18" s="210"/>
    </x:row>
    <x:row r="19">
      <x:c r="A19" s="27" t="str">
        <x:v>2025-04</x:v>
      </x:c>
      <x:c r="B19" s="51" t="n">
        <x:f>'11_BUDZET_2025'!B8</x:f>
        <x:v>315224.60300000006</x:v>
      </x:c>
      <x:c r="C19" s="51" t="n">
        <x:f>'11_BUDZET_2025'!C8</x:f>
        <x:v>410852.95999999996</x:v>
      </x:c>
      <x:c r="D19" s="210"/>
      <x:c r="E19" s="27" t="str">
        <x:f>'07_KATEGORIE'!A8</x:f>
        <x:v>Sport i turystyka</x:v>
      </x:c>
      <x:c r="F19" s="51" t="n">
        <x:f>'07_KATEGORIE'!B8</x:f>
        <x:v>668355.5160000006</x:v>
      </x:c>
      <x:c r="G19" s="210"/>
      <x:c r="H19" s="27" t="str">
        <x:f>'08_KANALY'!A8</x:f>
        <x:v>Telefon/B2B</x:v>
      </x:c>
      <x:c r="I19" s="51" t="n">
        <x:f>'08_KANALY'!B8</x:f>
        <x:v>855373.7180000001</x:v>
      </x:c>
      <x:c r="J19" s="210"/>
      <x:c r="K19" s="210"/>
      <x:c r="L19" s="210"/>
      <x:c r="M19" s="210"/>
      <x:c r="N19" s="210"/>
      <x:c r="O19" s="210"/>
    </x:row>
    <x:row r="20">
      <x:c r="A20" s="24" t="str">
        <x:v>2025-05</x:v>
      </x:c>
      <x:c r="B20" s="53" t="n">
        <x:f>'11_BUDZET_2025'!B9</x:f>
        <x:v>264184.5619999999</x:v>
      </x:c>
      <x:c r="C20" s="53" t="n">
        <x:f>'11_BUDZET_2025'!C9</x:f>
        <x:v>366190.62</x:v>
      </x:c>
      <x:c r="D20" s="210"/>
      <x:c r="E20" s="24" t="str">
        <x:f>'07_KATEGORIE'!A9</x:f>
        <x:v>Uroda i zdrowie</x:v>
      </x:c>
      <x:c r="F20" s="53" t="n">
        <x:f>'07_KATEGORIE'!B9</x:f>
        <x:v>595785.7279999999</x:v>
      </x:c>
      <x:c r="G20" s="210"/>
      <x:c r="H20" s="210"/>
      <x:c r="I20" s="210"/>
      <x:c r="J20" s="210"/>
      <x:c r="K20" s="210"/>
      <x:c r="L20" s="210"/>
      <x:c r="M20" s="210"/>
      <x:c r="N20" s="210"/>
      <x:c r="O20" s="210"/>
    </x:row>
    <x:row r="21">
      <x:c r="A21" s="27" t="str">
        <x:v>2025-06</x:v>
      </x:c>
      <x:c r="B21" s="51" t="n">
        <x:f>'11_BUDZET_2025'!B10</x:f>
        <x:v>309005.7045000001</x:v>
      </x:c>
      <x:c r="C21" s="51" t="n">
        <x:f>'11_BUDZET_2025'!C10</x:f>
        <x:v>449612.97</x:v>
      </x:c>
      <x:c r="D21" s="210"/>
      <x:c r="E21" s="210"/>
      <x:c r="F21" s="210"/>
      <x:c r="G21" s="210"/>
      <x:c r="H21" s="210"/>
      <x:c r="I21" s="210"/>
      <x:c r="J21" s="210"/>
      <x:c r="K21" s="210"/>
      <x:c r="L21" s="210"/>
      <x:c r="M21" s="210"/>
      <x:c r="N21" s="210"/>
      <x:c r="O21" s="210"/>
    </x:row>
    <x:row r="22">
      <x:c r="A22" s="24" t="str">
        <x:v>2025-07</x:v>
      </x:c>
      <x:c r="B22" s="53" t="n">
        <x:f>'11_BUDZET_2025'!B11</x:f>
        <x:v>335508.3610000001</x:v>
      </x:c>
      <x:c r="C22" s="53" t="n">
        <x:f>'11_BUDZET_2025'!C11</x:f>
        <x:v>480450.33999999997</x:v>
      </x:c>
      <x:c r="D22" s="210"/>
      <x:c r="E22" s="210"/>
      <x:c r="F22" s="210"/>
      <x:c r="G22" s="210"/>
      <x:c r="H22" s="210"/>
      <x:c r="I22" s="210"/>
      <x:c r="J22" s="210"/>
      <x:c r="K22" s="210"/>
      <x:c r="L22" s="210"/>
      <x:c r="M22" s="210"/>
      <x:c r="N22" s="210"/>
      <x:c r="O22" s="210"/>
    </x:row>
    <x:row r="23">
      <x:c r="A23" s="27" t="str">
        <x:v>2025-08</x:v>
      </x:c>
      <x:c r="B23" s="51" t="n">
        <x:f>'11_BUDZET_2025'!B12</x:f>
        <x:v>305194.6069999999</x:v>
      </x:c>
      <x:c r="C23" s="51" t="n">
        <x:f>'11_BUDZET_2025'!C12</x:f>
        <x:v>470244.22</x:v>
      </x:c>
      <x:c r="D23" s="210"/>
      <x:c r="E23" s="210"/>
      <x:c r="F23" s="210"/>
      <x:c r="G23" s="210"/>
      <x:c r="H23" s="210"/>
      <x:c r="I23" s="210"/>
      <x:c r="J23" s="210"/>
      <x:c r="K23" s="210"/>
      <x:c r="L23" s="210"/>
      <x:c r="M23" s="210"/>
      <x:c r="N23" s="210"/>
      <x:c r="O23" s="210"/>
    </x:row>
    <x:row r="24">
      <x:c r="A24" s="24" t="str">
        <x:v>2025-09</x:v>
      </x:c>
      <x:c r="B24" s="53" t="n">
        <x:f>'11_BUDZET_2025'!B13</x:f>
        <x:v>353042.4815</x:v>
      </x:c>
      <x:c r="C24" s="53" t="n">
        <x:f>'11_BUDZET_2025'!C13</x:f>
        <x:v>467088.18</x:v>
      </x:c>
      <x:c r="D24" s="210"/>
      <x:c r="E24" s="210"/>
      <x:c r="F24" s="210"/>
      <x:c r="G24" s="210"/>
      <x:c r="H24" s="210"/>
      <x:c r="I24" s="210"/>
      <x:c r="J24" s="210"/>
      <x:c r="K24" s="210"/>
      <x:c r="L24" s="210"/>
      <x:c r="M24" s="210"/>
      <x:c r="N24" s="210"/>
      <x:c r="O24" s="210"/>
    </x:row>
    <x:row r="25">
      <x:c r="A25" s="27" t="str">
        <x:v>2025-10</x:v>
      </x:c>
      <x:c r="B25" s="51" t="n">
        <x:f>'11_BUDZET_2025'!B14</x:f>
        <x:v>294165.55499999993</x:v>
      </x:c>
      <x:c r="C25" s="51" t="n">
        <x:f>'11_BUDZET_2025'!C14</x:f>
        <x:v>446708.17</x:v>
      </x:c>
      <x:c r="D25" s="210"/>
      <x:c r="E25" s="210"/>
      <x:c r="F25" s="210"/>
      <x:c r="G25" s="210"/>
      <x:c r="H25" s="210"/>
      <x:c r="I25" s="210"/>
      <x:c r="J25" s="210"/>
      <x:c r="K25" s="210"/>
      <x:c r="L25" s="210"/>
      <x:c r="M25" s="210"/>
      <x:c r="N25" s="210"/>
      <x:c r="O25" s="210"/>
    </x:row>
    <x:row r="26">
      <x:c r="A26" s="24" t="str">
        <x:v>2025-11</x:v>
      </x:c>
      <x:c r="B26" s="53" t="n">
        <x:f>'11_BUDZET_2025'!B15</x:f>
        <x:v>305524.7095000001</x:v>
      </x:c>
      <x:c r="C26" s="53" t="n">
        <x:f>'11_BUDZET_2025'!C15</x:f>
        <x:v>596741.74</x:v>
      </x:c>
      <x:c r="D26" s="210"/>
      <x:c r="E26" s="210"/>
      <x:c r="F26" s="210"/>
      <x:c r="G26" s="210"/>
      <x:c r="H26" s="210"/>
      <x:c r="I26" s="210"/>
      <x:c r="J26" s="210"/>
      <x:c r="K26" s="210"/>
      <x:c r="L26" s="210"/>
      <x:c r="M26" s="210"/>
      <x:c r="N26" s="210"/>
      <x:c r="O26" s="210"/>
    </x:row>
    <x:row r="27">
      <x:c r="A27" s="27" t="str">
        <x:v>2025-12</x:v>
      </x:c>
      <x:c r="B27" s="51" t="n">
        <x:f>'11_BUDZET_2025'!B16</x:f>
        <x:v>224186.094</x:v>
      </x:c>
      <x:c r="C27" s="51" t="n">
        <x:f>'11_BUDZET_2025'!C16</x:f>
        <x:v>579022.69</x:v>
      </x:c>
      <x:c r="D27" s="210"/>
      <x:c r="E27" s="210"/>
      <x:c r="F27" s="210"/>
      <x:c r="G27" s="210"/>
      <x:c r="H27" s="210"/>
      <x:c r="I27" s="210"/>
      <x:c r="J27" s="210"/>
      <x:c r="K27" s="210"/>
      <x:c r="L27" s="210"/>
      <x:c r="M27" s="210"/>
      <x:c r="N27" s="210"/>
      <x:c r="O27" s="210"/>
    </x:row>
  </x:sheetData>
  <x:mergeCells>
    <x:mergeCell ref="A1:O1"/>
    <x:mergeCell ref="A2:O2"/>
    <x:mergeCell ref="A4:C4"/>
    <x:mergeCell ref="A5:C7"/>
    <x:mergeCell ref="E4:G4"/>
    <x:mergeCell ref="E5:G7"/>
    <x:mergeCell ref="I4:K4"/>
    <x:mergeCell ref="I5:K7"/>
    <x:mergeCell ref="M4:O4"/>
    <x:mergeCell ref="M5:O7"/>
    <x:mergeCell ref="A9:C9"/>
    <x:mergeCell ref="A10:C12"/>
    <x:mergeCell ref="E9:G9"/>
    <x:mergeCell ref="E10:G12"/>
    <x:mergeCell ref="I9:K9"/>
    <x:mergeCell ref="I10:K12"/>
    <x:mergeCell ref="M9:O9"/>
    <x:mergeCell ref="M10:O12"/>
    <x:mergeCell ref="A14:O14"/>
  </x:mergeCells>
  <x:pageMargins left="0.7" right="0.7" top="0.75" bottom="0.75" header="0.3" footer="0.3"/>
  <x:drawing xmlns:r="http://schemas.openxmlformats.org/officeDocument/2006/relationships" r:id="R06d1d5f2803a458a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1" hidden="0" customWidth="1"/>
    <x:col min="3" max="3" width="21" hidden="0" customWidth="1"/>
    <x:col min="4" max="4" width="18" hidden="0" customWidth="1"/>
    <x:col min="5" max="5" width="15" hidden="0" customWidth="1"/>
    <x:col min="6" max="6" width="14" hidden="0" customWidth="1"/>
    <x:col min="7" max="7" width="45" hidden="0" customWidth="1"/>
  </x:cols>
  <x:sheetData>
    <x:row r="1">
      <x:c r="A1" s="216" t="str">
        <x:v>KONTROLE SPÓJNOŚCI MODELU</x:v>
      </x:c>
      <x:c r="B1" s="216"/>
      <x:c r="C1" s="216"/>
      <x:c r="D1" s="216"/>
      <x:c r="E1" s="216"/>
      <x:c r="F1" s="216"/>
      <x:c r="G1" s="216"/>
    </x:row>
    <x:row r="2" ht="32" customHeight="1">
      <x:c r="A2" s="42" t="str">
        <x:v>PASS oznacza zgodność techniczną w zadanej tolerancji. Kontrola nie zastępuje akceptacji biznesowej założeń planu.</x:v>
      </x:c>
      <x:c r="B2" s="42"/>
      <x:c r="C2" s="42"/>
      <x:c r="D2" s="42"/>
      <x:c r="E2" s="42"/>
      <x:c r="F2" s="42"/>
      <x:c r="G2" s="42"/>
    </x:row>
    <x:row r="3">
      <x:c r="A3" s="210"/>
      <x:c r="B3" s="210"/>
      <x:c r="C3" s="210"/>
      <x:c r="D3" s="210"/>
      <x:c r="E3" s="210"/>
      <x:c r="F3" s="210"/>
      <x:c r="G3" s="210"/>
    </x:row>
    <x:row r="4" ht="32" customHeight="1">
      <x:c r="A4" s="21" t="str">
        <x:v>Kontrola</x:v>
      </x:c>
      <x:c r="B4" s="21" t="str">
        <x:v>Wartość modelu</x:v>
      </x:c>
      <x:c r="C4" s="21" t="str">
        <x:v>Wartość oczekiwana</x:v>
      </x:c>
      <x:c r="D4" s="21" t="str">
        <x:v>Różnica</x:v>
      </x:c>
      <x:c r="E4" s="21" t="str">
        <x:v>Tolerancja</x:v>
      </x:c>
      <x:c r="F4" s="21" t="str">
        <x:v>Status</x:v>
      </x:c>
      <x:c r="G4" s="21" t="str">
        <x:v>Gdzie naprawić</x:v>
      </x:c>
    </x:row>
    <x:row r="5">
      <x:c r="A5" s="24" t="str">
        <x:v>Pełny przychód po kontroli</x:v>
      </x:c>
      <x:c r="B5" s="53" t="n">
        <x:f>'02_ZRODLO_MIESIACE'!D18</x:f>
        <x:v>3514692.0275000003</x:v>
      </x:c>
      <x:c r="C5" s="53" t="n">
        <x:f>SUM('02_ZRODLO_MIESIACE'!B5:B17)-SUM('02_ZRODLO_MIESIACE'!C5:C17)</x:f>
        <x:v>3514692.027500001</x:v>
      </x:c>
      <x:c r="D5" s="53" t="n">
        <x:f>B5-C5</x:f>
        <x:v>-4.656612873077393e-10</x:v>
      </x:c>
      <x:c r="E5" s="53" t="n">
        <x:v>0.05</x:v>
      </x:c>
      <x:c r="F5" s="24" t="str">
        <x:f>IF(ABS(D5)&lt;=E5,"PASS","FAIL")</x:f>
        <x:v>PASS</x:v>
      </x:c>
      <x:c r="G5" s="28" t="str">
        <x:v>02_ZRODLO_MIESIACE</x:v>
      </x:c>
    </x:row>
    <x:row r="6">
      <x:c r="A6" s="27" t="str">
        <x:v>Kategorie = pełny wynik</x:v>
      </x:c>
      <x:c r="B6" s="51" t="n">
        <x:f>'03_ZRODLO_KATEGORIE'!F10</x:f>
        <x:v>3514692.027500001</x:v>
      </x:c>
      <x:c r="C6" s="51" t="n">
        <x:f>'02_ZRODLO_MIESIACE'!D18</x:f>
        <x:v>3514692.0275000003</x:v>
      </x:c>
      <x:c r="D6" s="51" t="n">
        <x:f>B6-C6</x:f>
        <x:v>4.656612873077393e-10</x:v>
      </x:c>
      <x:c r="E6" s="51" t="n">
        <x:v>0.05</x:v>
      </x:c>
      <x:c r="F6" s="27" t="str">
        <x:f>IF(ABS(D6)&lt;=E6,"PASS","FAIL")</x:f>
        <x:v>PASS</x:v>
      </x:c>
      <x:c r="G6" s="29" t="str">
        <x:v>02_ZRODLO_MIESIACE wiersz poza osią</x:v>
      </x:c>
    </x:row>
    <x:row r="7">
      <x:c r="A7" s="24" t="str">
        <x:v>Kanały = pełny wynik</x:v>
      </x:c>
      <x:c r="B7" s="53" t="n">
        <x:f>'04_ZRODLO_KANALY'!F9</x:f>
        <x:v>3514692.027499999</x:v>
      </x:c>
      <x:c r="C7" s="53" t="n">
        <x:f>'02_ZRODLO_MIESIACE'!D18</x:f>
        <x:v>3514692.0275000003</x:v>
      </x:c>
      <x:c r="D7" s="53" t="n">
        <x:f>B7-C7</x:f>
        <x:v>-1.3969838619232178e-9</x:v>
      </x:c>
      <x:c r="E7" s="53" t="n">
        <x:v>0.05</x:v>
      </x:c>
      <x:c r="F7" s="24" t="str">
        <x:f>IF(ABS(D7)&lt;=E7,"PASS","FAIL")</x:f>
        <x:v>PASS</x:v>
      </x:c>
      <x:c r="G7" s="28" t="str">
        <x:v>02_ZRODLO_MIESIACE wiersz poza osią</x:v>
      </x:c>
    </x:row>
    <x:row r="8">
      <x:c r="A8" s="27" t="str">
        <x:v>Budżet kategorii = pełny budżet</x:v>
      </x:c>
      <x:c r="B8" s="51" t="n">
        <x:f>'03_ZRODLO_KATEGORIE'!N10</x:f>
        <x:v>5462374.78</x:v>
      </x:c>
      <x:c r="C8" s="51" t="n">
        <x:f>'02_ZRODLO_MIESIACE'!G18</x:f>
        <x:v>5462374.780000001</x:v>
      </x:c>
      <x:c r="D8" s="51" t="n">
        <x:f>B8-C8</x:f>
        <x:v>-9.313225746154785e-10</x:v>
      </x:c>
      <x:c r="E8" s="51" t="n">
        <x:v>0.05</x:v>
      </x:c>
      <x:c r="F8" s="27" t="str">
        <x:f>IF(ABS(D8)&lt;=E8,"PASS","FAIL")</x:f>
        <x:v>PASS</x:v>
      </x:c>
      <x:c r="G8" s="29" t="str">
        <x:v>03_ZRODLO_KATEGORIE</x:v>
      </x:c>
    </x:row>
    <x:row r="9">
      <x:c r="A9" s="24" t="str">
        <x:v>Budżet kanałów = pełny budżet</x:v>
      </x:c>
      <x:c r="B9" s="53" t="n">
        <x:f>'04_ZRODLO_KANALY'!P9</x:f>
        <x:v>5462374.779999999</x:v>
      </x:c>
      <x:c r="C9" s="53" t="n">
        <x:f>'02_ZRODLO_MIESIACE'!G18</x:f>
        <x:v>5462374.780000001</x:v>
      </x:c>
      <x:c r="D9" s="53" t="n">
        <x:f>B9-C9</x:f>
        <x:v>-1.862645149230957e-9</x:v>
      </x:c>
      <x:c r="E9" s="53" t="n">
        <x:v>0.05</x:v>
      </x:c>
      <x:c r="F9" s="24" t="str">
        <x:f>IF(ABS(D9)&lt;=E9,"PASS","FAIL")</x:f>
        <x:v>PASS</x:v>
      </x:c>
      <x:c r="G9" s="28" t="str">
        <x:v>04_ZRODLO_KANALY</x:v>
      </x:c>
    </x:row>
    <x:row r="10">
      <x:c r="A10" s="27" t="str">
        <x:v>Wykonanie = pełne źródło</x:v>
      </x:c>
      <x:c r="B10" s="51" t="n">
        <x:f>'06_SPRZEDAZ_WYKONANIE'!B18</x:f>
        <x:v>3514692.0275000003</x:v>
      </x:c>
      <x:c r="C10" s="51" t="n">
        <x:f>'02_ZRODLO_MIESIACE'!D18</x:f>
        <x:v>3514692.0275000003</x:v>
      </x:c>
      <x:c r="D10" s="51" t="n">
        <x:f>B10-C10</x:f>
        <x:v>0</x:v>
      </x:c>
      <x:c r="E10" s="51" t="n">
        <x:v>0.05</x:v>
      </x:c>
      <x:c r="F10" s="27" t="str">
        <x:f>IF(ABS(D10)&lt;=E10,"PASS","FAIL")</x:f>
        <x:v>PASS</x:v>
      </x:c>
      <x:c r="G10" s="29" t="str">
        <x:v>06_SPRZEDAZ_WYKONANIE</x:v>
      </x:c>
    </x:row>
    <x:row r="11">
      <x:c r="A11" s="24" t="str">
        <x:v>Budżet 2025 = źródło czyste</x:v>
      </x:c>
      <x:c r="B11" s="53" t="n">
        <x:f>'11_BUDZET_2025'!C18</x:f>
        <x:v>5462374.780000001</x:v>
      </x:c>
      <x:c r="C11" s="53" t="n">
        <x:f>'02_ZRODLO_MIESIACE'!G18</x:f>
        <x:v>5462374.780000001</x:v>
      </x:c>
      <x:c r="D11" s="53" t="n">
        <x:f>B11-C11</x:f>
        <x:v>0</x:v>
      </x:c>
      <x:c r="E11" s="53" t="n">
        <x:v>0.05</x:v>
      </x:c>
      <x:c r="F11" s="24" t="str">
        <x:f>IF(ABS(D11)&lt;=E11,"PASS","FAIL")</x:f>
        <x:v>PASS</x:v>
      </x:c>
      <x:c r="G11" s="28" t="str">
        <x:v>11_BUDZET_2025</x:v>
      </x:c>
    </x:row>
    <x:row r="12">
      <x:c r="A12" s="27" t="str">
        <x:v>Plan kategorii = plan miesięczny</x:v>
      </x:c>
      <x:c r="B12" s="51" t="n">
        <x:f>'07_KATEGORIE'!K10</x:f>
        <x:v>3764938.0998580013</x:v>
      </x:c>
      <x:c r="C12" s="51" t="n">
        <x:f>'12_PLAN_2026'!N5</x:f>
        <x:v>3764938.099858001</x:v>
      </x:c>
      <x:c r="D12" s="51" t="n">
        <x:f>B12-C12</x:f>
        <x:v>4.656612873077393e-10</x:v>
      </x:c>
      <x:c r="E12" s="51" t="n">
        <x:v>0.05</x:v>
      </x:c>
      <x:c r="F12" s="27" t="str">
        <x:f>IF(ABS(D12)&lt;=E12,"PASS","FAIL")</x:f>
        <x:v>PASS</x:v>
      </x:c>
      <x:c r="G12" s="29" t="str">
        <x:v>07_KATEGORIE / 12_PLAN_2026</x:v>
      </x:c>
    </x:row>
    <x:row r="13">
      <x:c r="A13" s="24" t="str">
        <x:v>Plan kanałów = plan miesięczny</x:v>
      </x:c>
      <x:c r="B13" s="53" t="n">
        <x:f>'08_KANALY'!L9</x:f>
        <x:v>3764938.099857999</x:v>
      </x:c>
      <x:c r="C13" s="53" t="n">
        <x:f>'12_PLAN_2026'!N5</x:f>
        <x:v>3764938.099858001</x:v>
      </x:c>
      <x:c r="D13" s="53" t="n">
        <x:f>B13-C13</x:f>
        <x:v>-1.862645149230957e-9</x:v>
      </x:c>
      <x:c r="E13" s="53" t="n">
        <x:v>0.05</x:v>
      </x:c>
      <x:c r="F13" s="24" t="str">
        <x:f>IF(ABS(D13)&lt;=E13,"PASS","FAIL")</x:f>
        <x:v>PASS</x:v>
      </x:c>
      <x:c r="G13" s="28" t="str">
        <x:v>08_KANALY / 12_PLAN_2026</x:v>
      </x:c>
    </x:row>
    <x:row r="14">
      <x:c r="A14" s="27" t="str">
        <x:v>Most cena - wolumen</x:v>
      </x:c>
      <x:c r="B14" s="51" t="n">
        <x:f>'15_CENA_WOLUMEN_MIKS'!M9</x:f>
        <x:v>2.3283064365386963e-10</x:v>
      </x:c>
      <x:c r="C14" s="51" t="n">
        <x:f>0</x:f>
        <x:v>0</x:v>
      </x:c>
      <x:c r="D14" s="51" t="n">
        <x:f>B14-C14</x:f>
        <x:v>2.3283064365386963e-10</x:v>
      </x:c>
      <x:c r="E14" s="51" t="n">
        <x:v>0.05</x:v>
      </x:c>
      <x:c r="F14" s="27" t="str">
        <x:f>IF(ABS(D14)&lt;=E14,"PASS","FAIL")</x:f>
        <x:v>PASS</x:v>
      </x:c>
      <x:c r="G14" s="29" t="str">
        <x:v>15_CENA_WOLUMEN_MIKS</x:v>
      </x:c>
    </x:row>
    <x:row r="15">
      <x:c r="A15" s="24" t="str">
        <x:v>Przychód planu - wzór driverów</x:v>
      </x:c>
      <x:c r="B15" s="53" t="n">
        <x:f>'12_PLAN_2026'!N5</x:f>
        <x:v>3764938.099858001</x:v>
      </x:c>
      <x:c r="C15" s="53" t="n">
        <x:f>'06_SPRZEDAZ_WYKONANIE'!B18*(1+'01_ZALOZENIA'!$E$6+'01_ZALOZENIA'!$E$20)*(1+'01_ZALOZENIA'!$E$7+'01_ZALOZENIA'!$E$21)</x:f>
        <x:v>3764938.099858001</x:v>
      </x:c>
      <x:c r="D15" s="53" t="n">
        <x:f>B15-C15</x:f>
        <x:v>0</x:v>
      </x:c>
      <x:c r="E15" s="53" t="n">
        <x:v>0.05</x:v>
      </x:c>
      <x:c r="F15" s="24" t="str">
        <x:f>IF(ABS(D15)&lt;=E15,"PASS","FAIL")</x:f>
        <x:v>PASS</x:v>
      </x:c>
      <x:c r="G15" s="28" t="str">
        <x:v>01_ZALOZENIA / 12_PLAN_2026</x:v>
      </x:c>
    </x:row>
    <x:row r="16">
      <x:c r="A16" s="27" t="str">
        <x:v>Płace plan: tabela = harmonogram</x:v>
      </x:c>
      <x:c r="B16" s="51" t="n">
        <x:f>SUM('16_ZATRUDNIENIE'!I5:I10)</x:f>
        <x:v>590434.5599999999</x:v>
      </x:c>
      <x:c r="C16" s="51" t="n">
        <x:f>'16_ZATRUDNIENIE'!N21</x:f>
        <x:v>590434.5599999999</x:v>
      </x:c>
      <x:c r="D16" s="51" t="n">
        <x:f>B16-C16</x:f>
        <x:v>0</x:v>
      </x:c>
      <x:c r="E16" s="51" t="n">
        <x:v>0.05</x:v>
      </x:c>
      <x:c r="F16" s="27" t="str">
        <x:f>IF(ABS(D16)&lt;=E16,"PASS","FAIL")</x:f>
        <x:v>PASS</x:v>
      </x:c>
      <x:c r="G16" s="29" t="str">
        <x:v>16_ZATRUDNIENIE</x:v>
      </x:c>
    </x:row>
    <x:row r="17">
      <x:c r="A17" s="24" t="str">
        <x:v>CAPEX 2026 = suma aktywów</x:v>
      </x:c>
      <x:c r="B17" s="53" t="n">
        <x:f>'17_CAPEX'!N32</x:f>
        <x:v>285000</x:v>
      </x:c>
      <x:c r="C17" s="53" t="n">
        <x:f>SUM('17_CAPEX'!E7:E10)</x:f>
        <x:v>285000</x:v>
      </x:c>
      <x:c r="D17" s="53" t="n">
        <x:f>B17-C17</x:f>
        <x:v>0</x:v>
      </x:c>
      <x:c r="E17" s="53" t="n">
        <x:v>0.05</x:v>
      </x:c>
      <x:c r="F17" s="24" t="str">
        <x:f>IF(ABS(D17)&lt;=E17,"PASS","FAIL")</x:f>
        <x:v>PASS</x:v>
      </x:c>
      <x:c r="G17" s="28" t="str">
        <x:v>17_CAPEX</x:v>
      </x:c>
    </x:row>
    <x:row r="18">
      <x:c r="A18" s="27" t="str">
        <x:v>Cash roll-forward</x:v>
      </x:c>
      <x:c r="B18" s="51" t="n">
        <x:f>'20_PRZEPLYWY_PIENIEZNE'!N14</x:f>
        <x:v>369911.42306275165</x:v>
      </x:c>
      <x:c r="C18" s="51" t="n">
        <x:f>'20_PRZEPLYWY_PIENIEZNE'!N13+'20_PRZEPLYWY_PIENIEZNE'!N12</x:f>
        <x:v>369911.42306275165</x:v>
      </x:c>
      <x:c r="D18" s="51" t="n">
        <x:f>B18-C18</x:f>
        <x:v>0</x:v>
      </x:c>
      <x:c r="E18" s="51" t="n">
        <x:v>0.05</x:v>
      </x:c>
      <x:c r="F18" s="27" t="str">
        <x:f>IF(ABS(D18)&lt;=E18,"PASS","FAIL")</x:f>
        <x:v>PASS</x:v>
      </x:c>
      <x:c r="G18" s="29" t="str">
        <x:v>20_PRZEPLYWY_PIENIEZNE</x:v>
      </x:c>
    </x:row>
    <x:row r="19">
      <x:c r="A19" s="24" t="str">
        <x:v>Zmiana NWC = grudzień − otwarcie</x:v>
      </x:c>
      <x:c r="B19" s="53" t="n">
        <x:f>'19_KAPITAL_OBROTOWY'!N11</x:f>
        <x:v>23998.927253509</x:v>
      </x:c>
      <x:c r="C19" s="53" t="n">
        <x:f>'19_KAPITAL_OBROTOWY'!M10-('06_SPRZEDAZ_WYKONANIE'!E16*'01_ZALOZENIA'!$E$12/30+'06_SPRZEDAZ_WYKONANIE'!G16*'01_ZALOZENIA'!$E$13/30-'06_SPRZEDAZ_WYKONANIE'!G16*'01_ZALOZENIA'!$E$14/30)</x:f>
        <x:v>23998.927253509</x:v>
      </x:c>
      <x:c r="D19" s="53" t="n">
        <x:f>B19-C19</x:f>
        <x:v>0</x:v>
      </x:c>
      <x:c r="E19" s="53" t="n">
        <x:v>0.05</x:v>
      </x:c>
      <x:c r="F19" s="24" t="str">
        <x:f>IF(ABS(D19)&lt;=E19,"PASS","FAIL")</x:f>
        <x:v>PASS</x:v>
      </x:c>
      <x:c r="G19" s="28" t="str">
        <x:v>19_KAPITAL_OBROTOWY</x:v>
      </x:c>
    </x:row>
    <x:row r="20">
      <x:c r="A20" s="27" t="str">
        <x:v>Stan magazynowy = źródło</x:v>
      </x:c>
      <x:c r="B20" s="51" t="n">
        <x:f>'10_MAGAZYN'!B15</x:f>
        <x:v>595</x:v>
      </x:c>
      <x:c r="C20" s="51" t="n">
        <x:f>595</x:f>
        <x:v>595</x:v>
      </x:c>
      <x:c r="D20" s="51" t="n">
        <x:f>B20-C20</x:f>
        <x:v>0</x:v>
      </x:c>
      <x:c r="E20" s="51" t="n">
        <x:v>0.05</x:v>
      </x:c>
      <x:c r="F20" s="27" t="str">
        <x:f>IF(ABS(D20)&lt;=E20,"PASS","FAIL")</x:f>
        <x:v>PASS</x:v>
      </x:c>
      <x:c r="G20" s="29" t="str">
        <x:v>10_MAGAZYN</x:v>
      </x:c>
    </x:row>
    <x:row r="21">
      <x:c r="A21" s="24" t="str">
        <x:v>Zwroty czyste = analiza po kontroli</x:v>
      </x:c>
      <x:c r="B21" s="53" t="n">
        <x:f>'09_ZWROTY'!G12</x:f>
        <x:v>129811.02</x:v>
      </x:c>
      <x:c r="C21" s="53" t="n">
        <x:f>129811.02</x:f>
        <x:v>129811.02</x:v>
      </x:c>
      <x:c r="D21" s="53" t="n">
        <x:f>B21-C21</x:f>
        <x:v>0</x:v>
      </x:c>
      <x:c r="E21" s="53" t="n">
        <x:v>0.05</x:v>
      </x:c>
      <x:c r="F21" s="24" t="str">
        <x:f>IF(ABS(D21)&lt;=E21,"PASS","FAIL")</x:f>
        <x:v>PASS</x:v>
      </x:c>
      <x:c r="G21" s="28" t="str">
        <x:v>09_ZWROTY</x:v>
      </x:c>
    </x:row>
    <x:row r="22">
      <x:c r="A22" s="27" t="str">
        <x:v>Amortyzacja ≤ wartość aktywów</x:v>
      </x:c>
      <x:c r="B22" s="51" t="n">
        <x:f>'17_CAPEX'!N20+'17_CAPEX'!N31</x:f>
        <x:v>129416.66666666666</x:v>
      </x:c>
      <x:c r="C22" s="51" t="n">
        <x:f>SUM('17_CAPEX'!E5:E10)</x:f>
        <x:v>485000</x:v>
      </x:c>
      <x:c r="D22" s="51" t="n">
        <x:f>MAX(0,B22-C22)</x:f>
        <x:v>0</x:v>
      </x:c>
      <x:c r="E22" s="51" t="n">
        <x:v>0.05</x:v>
      </x:c>
      <x:c r="F22" s="27" t="str">
        <x:f>IF(ABS(D22)&lt;=E22,"PASS","FAIL")</x:f>
        <x:v>PASS</x:v>
      </x:c>
      <x:c r="G22" s="29" t="str">
        <x:v>17_CAPEX - test nierówności</x:v>
      </x:c>
    </x:row>
    <x:row r="23">
      <x:c r="A23" s="229" t="str">
        <x:v>Aktywny scenariusz: FCF zgodny z tabelą scenariuszy</x:v>
      </x:c>
      <x:c r="B23" s="233" t="n">
        <x:f>'20_PRZEPLYWY_PIENIEZNE'!N12</x:f>
        <x:v>-130088.57693724835</x:v>
      </x:c>
      <x:c r="C23" s="233" t="n">
        <x:f>IF('01_ZALOZENIA'!$B$3="Bazowy",'22_SCENARIUSZE'!B19,IF('01_ZALOZENIA'!$B$3="Optymistyczny",'22_SCENARIUSZE'!C19,'22_SCENARIUSZE'!D19))</x:f>
        <x:v>-130088.57693724867</x:v>
      </x:c>
      <x:c r="D23" s="233" t="n">
        <x:f>B23-C23</x:f>
        <x:v>3.2014213502407074e-10</x:v>
      </x:c>
      <x:c r="E23" s="235" t="n">
        <x:v>0.05</x:v>
      </x:c>
      <x:c r="F23" s="238" t="str">
        <x:f>IF(ABS(D23)&lt;=E23,"PASS","FAIL")</x:f>
        <x:v>PASS</x:v>
      </x:c>
      <x:c r="G23" s="229" t="str">
        <x:v>22_SCENARIUSZE, wiersz FCF</x:v>
      </x:c>
    </x:row>
    <x:row r="24">
      <x:c r="A24" s="232" t="str">
        <x:v>Aktywny scenariusz: gotówka zgodna z tabelą scenariuszy</x:v>
      </x:c>
      <x:c r="B24" s="234" t="n">
        <x:f>'20_PRZEPLYWY_PIENIEZNE'!N14</x:f>
        <x:v>369911.42306275165</x:v>
      </x:c>
      <x:c r="C24" s="234" t="n">
        <x:f>IF('01_ZALOZENIA'!$B$3="Bazowy",'22_SCENARIUSZE'!B20,IF('01_ZALOZENIA'!$B$3="Optymistyczny",'22_SCENARIUSZE'!C20,'22_SCENARIUSZE'!D20))</x:f>
        <x:v>369911.4230627513</x:v>
      </x:c>
      <x:c r="D24" s="234" t="n">
        <x:f>B24-C24</x:f>
        <x:v>3.4924596548080444e-10</x:v>
      </x:c>
      <x:c r="E24" s="236" t="n">
        <x:v>0.05</x:v>
      </x:c>
      <x:c r="F24" s="238" t="str">
        <x:f>IF(ABS(D24)&lt;=E24,"PASS","FAIL")</x:f>
        <x:v>PASS</x:v>
      </x:c>
      <x:c r="G24" s="232" t="str">
        <x:v>22_SCENARIUSZE, wiersz gotówki</x:v>
      </x:c>
    </x:row>
    <x:row r="25">
      <x:c r="A25" s="211" t="str">
        <x:v>Podsumowanie kontroli</x:v>
      </x:c>
      <x:c r="B25" s="211"/>
      <x:c r="C25" s="211"/>
      <x:c r="D25" s="210"/>
      <x:c r="E25" s="210"/>
      <x:c r="F25" s="210"/>
      <x:c r="G25" s="210"/>
    </x:row>
    <x:row r="26">
      <x:c r="A26" s="24" t="str">
        <x:v>PASS</x:v>
      </x:c>
      <x:c r="B26" s="65" t="n">
        <x:f>COUNTIF(F5:F24,"PASS")</x:f>
        <x:v>20</x:v>
      </x:c>
      <x:c r="C26" s="24"/>
      <x:c r="D26" s="210"/>
      <x:c r="E26" s="210"/>
      <x:c r="F26" s="210"/>
      <x:c r="G26" s="210"/>
    </x:row>
    <x:row r="27">
      <x:c r="A27" s="27" t="str">
        <x:v>FAIL</x:v>
      </x:c>
      <x:c r="B27" s="66" t="n">
        <x:f>COUNTIF(F5:F24,"FAIL")</x:f>
        <x:v>0</x:v>
      </x:c>
      <x:c r="C27" s="27"/>
      <x:c r="D27" s="210"/>
      <x:c r="E27" s="210"/>
      <x:c r="F27" s="210"/>
      <x:c r="G27" s="210"/>
    </x:row>
    <x:row r="28">
      <x:c r="A28" s="24" t="str">
        <x:v>Status modelu</x:v>
      </x:c>
      <x:c r="B28" s="24" t="str">
        <x:f>IF(B27=0,"MODEL SPÓJNY","WYMAGA NAPRAWY")</x:f>
        <x:v>MODEL SPÓJNY</x:v>
      </x:c>
      <x:c r="C28" s="24"/>
      <x:c r="D28" s="210"/>
      <x:c r="E28" s="210"/>
      <x:c r="F28" s="210"/>
      <x:c r="G28" s="210"/>
    </x:row>
  </x:sheetData>
  <x:mergeCells>
    <x:mergeCell ref="A1:G1"/>
    <x:mergeCell ref="A2:G2"/>
    <x:mergeCell ref="A25:C25"/>
  </x:mergeCells>
  <x:conditionalFormatting sqref="F5:F22">
    <x:cfRule type="containsText" dxfId="13" priority="1" operator="containsText" text="PASS"/>
    <x:cfRule type="containsText" dxfId="14" priority="2" operator="containsText" text="FAIL"/>
  </x:conditionalFormatting>
  <x:conditionalFormatting sqref="F23:F24">
    <x:cfRule type="cellIs" dxfId="15" priority="3" operator="equal">
      <x:formula>"PASS"</x:formula>
    </x:cfRule>
    <x:cfRule type="cellIs" dxfId="16" priority="4" operator="equal">
      <x:formula>"FAIL"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4" hidden="0" customWidth="1"/>
    <x:col min="3" max="3" width="18" hidden="0" customWidth="1"/>
    <x:col min="4" max="4" width="29" hidden="0" customWidth="1"/>
    <x:col min="5" max="5" width="46" hidden="0" customWidth="1"/>
    <x:col min="6" max="6" width="22" hidden="0" customWidth="1"/>
    <x:col min="7" max="7" width="27" hidden="0" customWidth="1"/>
    <x:col min="8" max="8" width="25" hidden="0" customWidth="1"/>
  </x:cols>
  <x:sheetData>
    <x:row r="1">
      <x:c r="A1" s="216" t="str">
        <x:v>ŹRÓDŁA, WNIOSKI I OGRANICZENIA MODELU</x:v>
      </x:c>
      <x:c r="B1" s="216"/>
      <x:c r="C1" s="216"/>
      <x:c r="D1" s="216"/>
      <x:c r="E1" s="216"/>
      <x:c r="F1" s="216"/>
      <x:c r="G1" s="216"/>
      <x:c r="H1" s="216"/>
    </x:row>
    <x:row r="2" ht="32" customHeight="1">
      <x:c r="A2" s="42" t="str">
        <x:v>Pełna ścieżka pochodzenia danych i rozdzielenie wartości rzeczywistych od założeń controllingowych.</x:v>
      </x:c>
      <x:c r="B2" s="42"/>
      <x:c r="C2" s="42"/>
      <x:c r="D2" s="42"/>
      <x:c r="E2" s="42"/>
      <x:c r="F2" s="42"/>
      <x:c r="G2" s="42"/>
      <x:c r="H2" s="42"/>
    </x:row>
    <x:row r="3">
      <x:c r="A3" s="210"/>
      <x:c r="B3" s="210"/>
      <x:c r="C3" s="210"/>
      <x:c r="D3" s="210"/>
      <x:c r="E3" s="210"/>
      <x:c r="F3" s="210"/>
      <x:c r="G3" s="210"/>
      <x:c r="H3" s="210"/>
    </x:row>
    <x:row r="4" ht="23" customHeight="1">
      <x:c r="A4" s="16" t="str">
        <x:v>Źródła danych</x:v>
      </x:c>
      <x:c r="B4" s="16" t="str">
        <x:v>Źródła danych</x:v>
      </x:c>
      <x:c r="C4" s="16" t="str">
        <x:v>Źródła danych</x:v>
      </x:c>
      <x:c r="D4" s="16" t="str">
        <x:v>Źródła danych</x:v>
      </x:c>
      <x:c r="E4" s="16" t="str">
        <x:v>Źródła danych</x:v>
      </x:c>
      <x:c r="F4" s="16" t="str">
        <x:v>Źródła danych</x:v>
      </x:c>
      <x:c r="G4" s="16" t="str">
        <x:v>Źródła danych</x:v>
      </x:c>
      <x:c r="H4" s="16" t="str">
        <x:v>Źródła danych</x:v>
      </x:c>
    </x:row>
    <x:row r="5" ht="32" customHeight="1">
      <x:c r="A5" s="21" t="str">
        <x:v>Źródło</x:v>
      </x:c>
      <x:c r="B5" s="21" t="str">
        <x:v>Zakres wykorzystany</x:v>
      </x:c>
      <x:c r="C5" s="21" t="str">
        <x:v>Charakter</x:v>
      </x:c>
      <x:c r="D5" s="21" t="str">
        <x:v>Sposób użycia</x:v>
      </x:c>
      <x:c r="E5" s="21" t="str">
        <x:v>Kontrola</x:v>
      </x:c>
      <x:c r="F5" s="21" t="str">
        <x:v>Okres</x:v>
      </x:c>
      <x:c r="G5" s="21" t="str">
        <x:v>Właściciel modelu</x:v>
      </x:c>
      <x:c r="H5" s="21" t="str">
        <x:v>Uwagi</x:v>
      </x:c>
    </x:row>
    <x:row r="6" ht="44" customHeight="1">
      <x:c r="A6" s="28" t="str">
        <x:v>Analiza_Sprzedazy_Excel.xlsx</x:v>
      </x:c>
      <x:c r="B6" s="28" t="str">
        <x:v>Skoroszyt nadrzędny</x:v>
      </x:c>
      <x:c r="C6" s="28" t="str">
        <x:v>Rzeczywiste agregaty</x:v>
      </x:c>
      <x:c r="D6" s="28" t="str">
        <x:v>Bez ponownego czyszczenia</x:v>
      </x:c>
      <x:c r="E6" s="28" t="str">
        <x:v>KONTROLA_*</x:v>
      </x:c>
      <x:c r="F6" s="28" t="str">
        <x:v>2025</x:v>
      </x:c>
      <x:c r="G6" s="28" t="str">
        <x:v>Controlling</x:v>
      </x:c>
      <x:c r="H6" s="28" t="str">
        <x:v>FAKT_Sprzedaz jest osadzony w modelu danych</x:v>
      </x:c>
    </x:row>
    <x:row r="7" ht="44" customHeight="1">
      <x:c r="A7" s="29" t="str">
        <x:v>ANALIZA_Czas</x:v>
      </x:c>
      <x:c r="B7" s="29" t="str">
        <x:v>Przychód i budżet miesięczny</x:v>
      </x:c>
      <x:c r="C7" s="29" t="str">
        <x:v>Rzeczywiste / budżet</x:v>
      </x:c>
      <x:c r="D7" s="29" t="str">
        <x:v>Oś czasu i sezonowość</x:v>
      </x:c>
      <x:c r="E7" s="29" t="str">
        <x:v>KONTROLA_Sprzedaz / Budzet</x:v>
      </x:c>
      <x:c r="F7" s="29" t="str">
        <x:v>2025</x:v>
      </x:c>
      <x:c r="G7" s="29" t="str">
        <x:v>Sprzedaż</x:v>
      </x:c>
      <x:c r="H7" s="29" t="str">
        <x:v>Źródło nadrzędne sumy okresu</x:v>
      </x:c>
    </x:row>
    <x:row r="8" ht="44" customHeight="1">
      <x:c r="A8" s="28" t="str">
        <x:v>ANALIZA_Kategorie</x:v>
      </x:c>
      <x:c r="B8" s="28" t="str">
        <x:v>Przychód, KWS, budżet</x:v>
      </x:c>
      <x:c r="C8" s="28" t="str">
        <x:v>Rzeczywiste / budżet</x:v>
      </x:c>
      <x:c r="D8" s="28" t="str">
        <x:v>Rentowność kategorii</x:v>
      </x:c>
      <x:c r="E8" s="28" t="str">
        <x:v>Uzgodnienie okresu</x:v>
      </x:c>
      <x:c r="F8" s="28" t="str">
        <x:v>2025</x:v>
      </x:c>
      <x:c r="G8" s="28" t="str">
        <x:v>Sprzedaż</x:v>
      </x:c>
      <x:c r="H8" s="28" t="str">
        <x:v>Stopa KWS zachowana ze źródła</x:v>
      </x:c>
    </x:row>
    <x:row r="9" ht="44" customHeight="1">
      <x:c r="A9" s="29" t="str">
        <x:v>ANALIZA_Kanaly</x:v>
      </x:c>
      <x:c r="B9" s="29" t="str">
        <x:v>Przychód, zamówienia, marża, budżet</x:v>
      </x:c>
      <x:c r="C9" s="29" t="str">
        <x:v>Rzeczywiste / budżet</x:v>
      </x:c>
      <x:c r="D9" s="29" t="str">
        <x:v>Kanały i most cena - wolumen</x:v>
      </x:c>
      <x:c r="E9" s="29" t="str">
        <x:v>Uzgodnienie okresu</x:v>
      </x:c>
      <x:c r="F9" s="29" t="str">
        <x:v>2025</x:v>
      </x:c>
      <x:c r="G9" s="29" t="str">
        <x:v>Sprzedaż</x:v>
      </x:c>
      <x:c r="H9" s="29" t="str">
        <x:v>Zamówienia po wyłączeniu kontroli</x:v>
      </x:c>
    </x:row>
    <x:row r="10" ht="44" customHeight="1">
      <x:c r="A10" s="28" t="str">
        <x:v>DASHBOARD</x:v>
      </x:c>
      <x:c r="B10" s="28" t="str">
        <x:v>Zwroty, KPI sprzedażowe</x:v>
      </x:c>
      <x:c r="C10" s="28" t="str">
        <x:v>Rzeczywiste KPI</x:v>
      </x:c>
      <x:c r="D10" s="28" t="str">
        <x:v>Stopa zwrotów do P&amp;L</x:v>
      </x:c>
      <x:c r="E10" s="28" t="str">
        <x:v>Porównanie z analizami</x:v>
      </x:c>
      <x:c r="F10" s="28" t="str">
        <x:v>2025</x:v>
      </x:c>
      <x:c r="G10" s="28" t="str">
        <x:v>Zarząd</x:v>
      </x:c>
      <x:c r="H10" s="28" t="str">
        <x:v>Zakres dashboardu różni się od analizy powodów</x:v>
      </x:c>
    </x:row>
    <x:row r="11" ht="44" customHeight="1">
      <x:c r="A11" s="29" t="str">
        <x:v>ANALIZA_Zwroty</x:v>
      </x:c>
      <x:c r="B11" s="29" t="str">
        <x:v>Powody, liczba i kwoty</x:v>
      </x:c>
      <x:c r="C11" s="29" t="str">
        <x:v>Rzeczywiste</x:v>
      </x:c>
      <x:c r="D11" s="29" t="str">
        <x:v>Analiza operacyjna</x:v>
      </x:c>
      <x:c r="E11" s="29" t="str">
        <x:v>KONTROLA_Zwroty</x:v>
      </x:c>
      <x:c r="F11" s="29" t="str">
        <x:v>2025</x:v>
      </x:c>
      <x:c r="G11" s="29" t="str">
        <x:v>Obsługa klienta</x:v>
      </x:c>
      <x:c r="H11" s="29" t="str">
        <x:v>5 rekordów wyłączonych</x:v>
      </x:c>
    </x:row>
    <x:row r="12" ht="44" customHeight="1">
      <x:c r="A12" s="28" t="str">
        <x:v>ANALIZA_Magazyn</x:v>
      </x:c>
      <x:c r="B12" s="28" t="str">
        <x:v>Dodatnie stany produktów</x:v>
      </x:c>
      <x:c r="C12" s="28" t="str">
        <x:v>Rzeczywiste</x:v>
      </x:c>
      <x:c r="D12" s="28" t="str">
        <x:v>Kontrola minimum</x:v>
      </x:c>
      <x:c r="E12" s="28" t="str">
        <x:v>KONTROLA_Magazyn</x:v>
      </x:c>
      <x:c r="F12" s="28" t="str">
        <x:v>stan źródłowy</x:v>
      </x:c>
      <x:c r="G12" s="28" t="str">
        <x:v>Logistyka</x:v>
      </x:c>
      <x:c r="H12" s="28" t="str">
        <x:v>Brak wyceny zapasu</x:v>
      </x:c>
    </x:row>
    <x:row r="13" ht="44" customHeight="1">
      <x:c r="A13" s="29" t="str">
        <x:v>01_ZALOZENIA</x:v>
      </x:c>
      <x:c r="B13" s="29" t="str">
        <x:v>OPEX, FTE, CAPEX, finansowanie, NWC</x:v>
      </x:c>
      <x:c r="C13" s="29" t="str">
        <x:v>Plan controllingowy</x:v>
      </x:c>
      <x:c r="D13" s="29" t="str">
        <x:v>Plan i scenariusze 2026</x:v>
      </x:c>
      <x:c r="E13" s="29" t="str">
        <x:v>24_KONTROLE_MODELU</x:v>
      </x:c>
      <x:c r="F13" s="29" t="str">
        <x:v>2025-2026</x:v>
      </x:c>
      <x:c r="G13" s="29" t="str">
        <x:v>Controlling</x:v>
      </x:c>
      <x:c r="H13" s="29" t="str">
        <x:v>Jawne, edytowalne parametry</x:v>
      </x:c>
    </x:row>
    <x:row r="14">
      <x:c r="A14" s="210"/>
      <x:c r="B14" s="210"/>
      <x:c r="C14" s="210"/>
      <x:c r="D14" s="210"/>
      <x:c r="E14" s="210"/>
      <x:c r="F14" s="210"/>
      <x:c r="G14" s="210"/>
      <x:c r="H14" s="210"/>
    </x:row>
    <x:row r="15">
      <x:c r="A15" s="210"/>
      <x:c r="B15" s="210"/>
      <x:c r="C15" s="210"/>
      <x:c r="D15" s="210"/>
      <x:c r="E15" s="210"/>
      <x:c r="F15" s="210"/>
      <x:c r="G15" s="210"/>
      <x:c r="H15" s="210"/>
    </x:row>
    <x:row r="16" ht="23" customHeight="1">
      <x:c r="A16" s="16" t="str">
        <x:v>Najważniejsze wyniki</x:v>
      </x:c>
      <x:c r="B16" s="16" t="str">
        <x:v>Najważniejsze wyniki</x:v>
      </x:c>
      <x:c r="C16" s="16" t="str">
        <x:v>Najważniejsze wyniki</x:v>
      </x:c>
      <x:c r="D16" s="16" t="str">
        <x:v>Najważniejsze wyniki</x:v>
      </x:c>
      <x:c r="E16" s="16" t="str">
        <x:v>Najważniejsze wyniki</x:v>
      </x:c>
      <x:c r="F16" s="210"/>
      <x:c r="G16" s="210"/>
      <x:c r="H16" s="210"/>
    </x:row>
    <x:row r="17" ht="32" customHeight="1">
      <x:c r="A17" s="21" t="str">
        <x:v>Wskaźnik</x:v>
      </x:c>
      <x:c r="B17" s="21" t="str">
        <x:v>Wartość</x:v>
      </x:c>
      <x:c r="C17" s="21" t="str">
        <x:v>Jednostka</x:v>
      </x:c>
      <x:c r="D17" s="21" t="str">
        <x:v>Źródło formuły</x:v>
      </x:c>
      <x:c r="E17" s="21" t="str">
        <x:v>Interpretacja</x:v>
      </x:c>
      <x:c r="F17" s="210"/>
      <x:c r="G17" s="210"/>
      <x:c r="H17" s="210"/>
    </x:row>
    <x:row r="18">
      <x:c r="A18" s="24" t="str">
        <x:v>Przychód czysty 2025</x:v>
      </x:c>
      <x:c r="B18" s="53" t="n">
        <x:f>'02_ZRODLO_MIESIACE'!D18</x:f>
        <x:v>3514692.0275000003</x:v>
      </x:c>
      <x:c r="C18" s="24" t="str">
        <x:v>PLN</x:v>
      </x:c>
      <x:c r="D18" s="24" t="str">
        <x:v>02_ZRODLO_MIESIACE</x:v>
      </x:c>
      <x:c r="E18" s="28" t="str">
        <x:v>Pełne wykonanie po wyłączeniu wyłącznie rekordów kontroli</x:v>
      </x:c>
      <x:c r="F18" s="210"/>
      <x:c r="G18" s="210"/>
      <x:c r="H18" s="210"/>
    </x:row>
    <x:row r="19">
      <x:c r="A19" s="27" t="str">
        <x:v>Wpływ wyłączeń sprzedaży</x:v>
      </x:c>
      <x:c r="B19" s="51" t="n">
        <x:f>'02_ZRODLO_MIESIACE'!C18</x:f>
        <x:v>54824.21149999999</x:v>
      </x:c>
      <x:c r="C19" s="27" t="str">
        <x:v>PLN</x:v>
      </x:c>
      <x:c r="D19" s="27" t="str">
        <x:v>02_ZRODLO_MIESIACE</x:v>
      </x:c>
      <x:c r="E19" s="29" t="str">
        <x:v>Łączna kwota rekordów KONTROLA_Sprzedaz</x:v>
      </x:c>
      <x:c r="F19" s="210"/>
      <x:c r="G19" s="210"/>
      <x:c r="H19" s="210"/>
    </x:row>
    <x:row r="20">
      <x:c r="A20" s="24" t="str">
        <x:v>Budżet czysty 2025</x:v>
      </x:c>
      <x:c r="B20" s="53" t="n">
        <x:f>'02_ZRODLO_MIESIACE'!G18</x:f>
        <x:v>5462374.780000001</x:v>
      </x:c>
      <x:c r="C20" s="24" t="str">
        <x:v>PLN</x:v>
      </x:c>
      <x:c r="D20" s="24" t="str">
        <x:v>02_ZRODLO_MIESIACE</x:v>
      </x:c>
      <x:c r="E20" s="28" t="str">
        <x:v>Budżet po KONTROLA_Budzet</x:v>
      </x:c>
      <x:c r="F20" s="210"/>
      <x:c r="G20" s="210"/>
      <x:c r="H20" s="210"/>
    </x:row>
    <x:row r="21">
      <x:c r="A21" s="27" t="str">
        <x:v>Realizacja budżetu</x:v>
      </x:c>
      <x:c r="B21" s="49" t="n">
        <x:f>'06_SPRZEDAZ_WYKONANIE'!L18</x:f>
        <x:v>0.6434366313290572</x:v>
      </x:c>
      <x:c r="C21" s="27" t="str">
        <x:v>%</x:v>
      </x:c>
      <x:c r="D21" s="27" t="str">
        <x:v>06_SPRZEDAZ_WYKONANIE</x:v>
      </x:c>
      <x:c r="E21" s="29" t="str">
        <x:v>Poziom pełnego wykonania względem czystego budżetu</x:v>
      </x:c>
      <x:c r="F21" s="210"/>
      <x:c r="G21" s="210"/>
      <x:c r="H21" s="210"/>
    </x:row>
    <x:row r="22">
      <x:c r="A22" s="24" t="str">
        <x:v>Przychód plan 2026</x:v>
      </x:c>
      <x:c r="B22" s="53" t="n">
        <x:f>'12_PLAN_2026'!N5</x:f>
        <x:v>3764938.099858001</x:v>
      </x:c>
      <x:c r="C22" s="24" t="str">
        <x:v>PLN</x:v>
      </x:c>
      <x:c r="D22" s="24" t="str">
        <x:v>12_PLAN_2026</x:v>
      </x:c>
      <x:c r="E22" s="28" t="str">
        <x:v>Aktywny scenariusz</x:v>
      </x:c>
      <x:c r="F22" s="210"/>
      <x:c r="G22" s="210"/>
      <x:c r="H22" s="210"/>
    </x:row>
    <x:row r="23">
      <x:c r="A23" s="27" t="str">
        <x:v>Wzrost planu</x:v>
      </x:c>
      <x:c r="B23" s="49" t="n">
        <x:f>IFERROR('12_PLAN_2026'!N5/'06_SPRZEDAZ_WYKONANIE'!B18-1,0)</x:f>
        <x:v>0.07120000000000015</x:v>
      </x:c>
      <x:c r="C23" s="27" t="str">
        <x:v>%</x:v>
      </x:c>
      <x:c r="D23" s="27" t="str">
        <x:v>12_PLAN_2026</x:v>
      </x:c>
      <x:c r="E23" s="29" t="str">
        <x:v>Plan 2026 vs pełne wykonanie 2025</x:v>
      </x:c>
      <x:c r="F23" s="210"/>
      <x:c r="G23" s="210"/>
      <x:c r="H23" s="210"/>
    </x:row>
    <x:row r="24">
      <x:c r="A24" s="24" t="str">
        <x:v>EBITDA plan 2026</x:v>
      </x:c>
      <x:c r="B24" s="53" t="n">
        <x:f>'12_PLAN_2026'!N19</x:f>
        <x:v>259433.56006122712</x:v>
      </x:c>
      <x:c r="C24" s="24" t="str">
        <x:v>PLN</x:v>
      </x:c>
      <x:c r="D24" s="24" t="str">
        <x:v>12_PLAN_2026</x:v>
      </x:c>
      <x:c r="E24" s="28" t="str">
        <x:v>Po marży brutto i OPEX</x:v>
      </x:c>
      <x:c r="F24" s="210"/>
      <x:c r="G24" s="210"/>
      <x:c r="H24" s="210"/>
    </x:row>
    <x:row r="25">
      <x:c r="A25" s="27" t="str">
        <x:v>Marża EBITDA plan</x:v>
      </x:c>
      <x:c r="B25" s="49" t="n">
        <x:f>'12_PLAN_2026'!N20</x:f>
        <x:v>0.07076223519853944</x:v>
      </x:c>
      <x:c r="C25" s="27" t="str">
        <x:v>%</x:v>
      </x:c>
      <x:c r="D25" s="27" t="str">
        <x:v>12_PLAN_2026</x:v>
      </x:c>
      <x:c r="E25" s="29" t="str">
        <x:v>Rentowność operacyjna planu</x:v>
      </x:c>
      <x:c r="F25" s="210"/>
      <x:c r="G25" s="210"/>
      <x:c r="H25" s="210"/>
    </x:row>
    <x:row r="26">
      <x:c r="A26" s="24" t="str">
        <x:v>Gotówka końcowa</x:v>
      </x:c>
      <x:c r="B26" s="53" t="n">
        <x:f>'20_PRZEPLYWY_PIENIEZNE'!N14</x:f>
        <x:v>369911.42306275165</x:v>
      </x:c>
      <x:c r="C26" s="24" t="str">
        <x:v>PLN</x:v>
      </x:c>
      <x:c r="D26" s="24" t="str">
        <x:v>20_PRZEPLYWY_PIENIEZNE</x:v>
      </x:c>
      <x:c r="E26" s="28" t="str">
        <x:v>Po NWC, CAPEX i odsetkach</x:v>
      </x:c>
      <x:c r="F26" s="210"/>
      <x:c r="G26" s="210"/>
      <x:c r="H26" s="210"/>
    </x:row>
    <x:row r="27">
      <x:c r="A27" s="27" t="str">
        <x:v>Bufor ponad próg</x:v>
      </x:c>
      <x:c r="B27" s="51" t="n">
        <x:f>'21_PROG_RENTOWNOSCI'!N11</x:f>
        <x:v>800192.8808256616</x:v>
      </x:c>
      <x:c r="C27" s="27" t="str">
        <x:v>PLN</x:v>
      </x:c>
      <x:c r="D27" s="27" t="str">
        <x:v>21_PROG_RENTOWNOSCI</x:v>
      </x:c>
      <x:c r="E27" s="29" t="str">
        <x:v>Roczny bufor przychodu ponad break-even</x:v>
      </x:c>
      <x:c r="F27" s="210"/>
      <x:c r="G27" s="210"/>
      <x:c r="H27" s="210"/>
    </x:row>
    <x:row r="28">
      <x:c r="A28" s="210"/>
      <x:c r="B28" s="210"/>
      <x:c r="C28" s="210"/>
      <x:c r="D28" s="210"/>
      <x:c r="E28" s="210"/>
      <x:c r="F28" s="210"/>
      <x:c r="G28" s="210"/>
      <x:c r="H28" s="210"/>
    </x:row>
    <x:row r="29">
      <x:c r="A29" s="210"/>
      <x:c r="B29" s="210"/>
      <x:c r="C29" s="210"/>
      <x:c r="D29" s="210"/>
      <x:c r="E29" s="210"/>
      <x:c r="F29" s="210"/>
      <x:c r="G29" s="210"/>
      <x:c r="H29" s="210"/>
    </x:row>
    <x:row r="30" ht="23" customHeight="1">
      <x:c r="A30" s="16" t="str">
        <x:v>Wnioski i działania zarządcze</x:v>
      </x:c>
      <x:c r="B30" s="16" t="str">
        <x:v>Wnioski i działania zarządcze</x:v>
      </x:c>
      <x:c r="C30" s="16" t="str">
        <x:v>Wnioski i działania zarządcze</x:v>
      </x:c>
      <x:c r="D30" s="16" t="str">
        <x:v>Wnioski i działania zarządcze</x:v>
      </x:c>
      <x:c r="E30" s="16" t="str">
        <x:v>Wnioski i działania zarządcze</x:v>
      </x:c>
      <x:c r="F30" s="16" t="str">
        <x:v>Wnioski i działania zarządcze</x:v>
      </x:c>
      <x:c r="G30" s="16" t="str">
        <x:v>Wnioski i działania zarządcze</x:v>
      </x:c>
      <x:c r="H30" s="16" t="str">
        <x:v>Wnioski i działania zarządcze</x:v>
      </x:c>
    </x:row>
    <x:row r="31" ht="32" customHeight="1">
      <x:c r="A31" s="21" t="str">
        <x:v>Priorytet</x:v>
      </x:c>
      <x:c r="B31" s="21" t="str">
        <x:v>Obserwacja</x:v>
      </x:c>
      <x:c r="C31" s="21" t="str">
        <x:v>Działanie</x:v>
      </x:c>
      <x:c r="D31" s="21" t="str">
        <x:v>Wskaźnik</x:v>
      </x:c>
      <x:c r="E31" s="21" t="str">
        <x:v>Horyzont</x:v>
      </x:c>
      <x:c r="F31" s="21" t="str">
        <x:v>Odpowiedzialny</x:v>
      </x:c>
      <x:c r="G31" s="21" t="str">
        <x:v>Ryzyko</x:v>
      </x:c>
      <x:c r="H31" s="21" t="str">
        <x:v>Status</x:v>
      </x:c>
    </x:row>
    <x:row r="32" ht="52" customHeight="1">
      <x:c r="A32" s="24" t="n">
        <x:v>1</x:v>
      </x:c>
      <x:c r="B32" s="28" t="str">
        <x:v>Wykonanie 2025 jest istotnie poniżej budżetu</x:v>
      </x:c>
      <x:c r="C32" s="28" t="str">
        <x:v>Przebudować budżet kanałami i ustalić miesięczny plan domknięcia luki</x:v>
      </x:c>
      <x:c r="D32" s="28" t="str">
        <x:v>Realizacja budżetu</x:v>
      </x:c>
      <x:c r="E32" s="28" t="str">
        <x:v>30 dni</x:v>
      </x:c>
      <x:c r="F32" s="28" t="str">
        <x:v>Dyrektor sprzedaży</x:v>
      </x:c>
      <x:c r="G32" s="28" t="str">
        <x:v>Utrwalenie luki przychodowej</x:v>
      </x:c>
      <x:c r="H32" s="28" t="str">
        <x:v>Do decyzji</x:v>
      </x:c>
    </x:row>
    <x:row r="33" ht="52" customHeight="1">
      <x:c r="A33" s="27" t="n">
        <x:v>2</x:v>
      </x:c>
      <x:c r="B33" s="29" t="str">
        <x:v>Telefon/B2B przekracza własny budżet, gdy pozostałe kanały mają lukę</x:v>
      </x:c>
      <x:c r="C33" s="29" t="str">
        <x:v>Chronić pipeline B2B i ograniczyć ryzyko koncentracji klientów</x:v>
      </x:c>
      <x:c r="D33" s="29" t="str">
        <x:v>Odchylenie kanału</x:v>
      </x:c>
      <x:c r="E33" s="29" t="str">
        <x:v>Miesięcznie</x:v>
      </x:c>
      <x:c r="F33" s="29" t="str">
        <x:v>CC100</x:v>
      </x:c>
      <x:c r="G33" s="29" t="str">
        <x:v>Koncentracja przychodu</x:v>
      </x:c>
      <x:c r="H33" s="29" t="str">
        <x:v>Monitorować</x:v>
      </x:c>
    </x:row>
    <x:row r="34" ht="52" customHeight="1">
      <x:c r="A34" s="24" t="n">
        <x:v>3</x:v>
      </x:c>
      <x:c r="B34" s="28" t="str">
        <x:v>Sklep online jest największym kanałem, lecz nie realizuje ambitnego budżetu</x:v>
      </x:c>
      <x:c r="C34" s="28" t="str">
        <x:v>Rozdzielić lukę na ruch, konwersję i średnią wartość zamówienia</x:v>
      </x:c>
      <x:c r="D34" s="28" t="str">
        <x:v>Przychód / zamówienia / AOV</x:v>
      </x:c>
      <x:c r="E34" s="28" t="str">
        <x:v>Tygodniowo</x:v>
      </x:c>
      <x:c r="F34" s="28" t="str">
        <x:v>CC100 + CC200</x:v>
      </x:c>
      <x:c r="G34" s="28" t="str">
        <x:v>Koszt pozyskania</x:v>
      </x:c>
      <x:c r="H34" s="28" t="str">
        <x:v>Do analizy</x:v>
      </x:c>
    </x:row>
    <x:row r="35" ht="52" customHeight="1">
      <x:c r="A35" s="27" t="n">
        <x:v>4</x:v>
      </x:c>
      <x:c r="B35" s="29" t="str">
        <x:v>Elektronika ma najniższą marżę źródłową wśród kategorii</x:v>
      </x:c>
      <x:c r="C35" s="29" t="str">
        <x:v>Weryfikować ceny, rabaty i koszt zakupu na poziomie produktu</x:v>
      </x:c>
      <x:c r="D35" s="29" t="str">
        <x:v>Marża kategorii</x:v>
      </x:c>
      <x:c r="E35" s="29" t="str">
        <x:v>Miesięcznie</x:v>
      </x:c>
      <x:c r="F35" s="29" t="str">
        <x:v>Zakupy + sprzedaż</x:v>
      </x:c>
      <x:c r="G35" s="29" t="str">
        <x:v>Erozja marży</x:v>
      </x:c>
      <x:c r="H35" s="29" t="str">
        <x:v>Do analizy</x:v>
      </x:c>
    </x:row>
    <x:row r="36" ht="52" customHeight="1">
      <x:c r="A36" s="24" t="n">
        <x:v>5</x:v>
      </x:c>
      <x:c r="B36" s="28" t="str">
        <x:v>Plan 2026 angażuje gotówkę w NWC i CAPEX</x:v>
      </x:c>
      <x:c r="C36" s="28" t="str">
        <x:v>Wprowadzić bramki CAPEX oraz limity DSO i zapasu</x:v>
      </x:c>
      <x:c r="D36" s="28" t="str">
        <x:v>FCF / gotówka końcowa</x:v>
      </x:c>
      <x:c r="E36" s="28" t="str">
        <x:v>Miesięcznie</x:v>
      </x:c>
      <x:c r="F36" s="28" t="str">
        <x:v>CFO / controlling</x:v>
      </x:c>
      <x:c r="G36" s="28" t="str">
        <x:v>Niedobór płynności</x:v>
      </x:c>
      <x:c r="H36" s="28" t="str">
        <x:v>Monitorować</x:v>
      </x:c>
    </x:row>
    <x:row r="37">
      <x:c r="A37" s="210"/>
      <x:c r="B37" s="210"/>
      <x:c r="C37" s="210"/>
      <x:c r="D37" s="210"/>
      <x:c r="E37" s="210"/>
      <x:c r="F37" s="210"/>
      <x:c r="G37" s="210"/>
      <x:c r="H37" s="210"/>
    </x:row>
    <x:row r="38">
      <x:c r="A38" s="210"/>
      <x:c r="B38" s="210"/>
      <x:c r="C38" s="210"/>
      <x:c r="D38" s="210"/>
      <x:c r="E38" s="210"/>
      <x:c r="F38" s="210"/>
      <x:c r="G38" s="210"/>
      <x:c r="H38" s="210"/>
    </x:row>
    <x:row r="39" ht="23" customHeight="1">
      <x:c r="A39" s="16" t="str">
        <x:v>Ograniczenia i zasady interpretacji</x:v>
      </x:c>
      <x:c r="B39" s="16" t="str">
        <x:v>Ograniczenia i zasady interpretacji</x:v>
      </x:c>
      <x:c r="C39" s="16" t="str">
        <x:v>Ograniczenia i zasady interpretacji</x:v>
      </x:c>
      <x:c r="D39" s="16" t="str">
        <x:v>Ograniczenia i zasady interpretacji</x:v>
      </x:c>
      <x:c r="E39" s="16" t="str">
        <x:v>Ograniczenia i zasady interpretacji</x:v>
      </x:c>
      <x:c r="F39" s="16" t="str">
        <x:v>Ograniczenia i zasady interpretacji</x:v>
      </x:c>
      <x:c r="G39" s="16" t="str">
        <x:v>Ograniczenia i zasady interpretacji</x:v>
      </x:c>
      <x:c r="H39" s="16" t="str">
        <x:v>Ograniczenia i zasady interpretacji</x:v>
      </x:c>
    </x:row>
    <x:row r="40" ht="54" customHeight="1">
      <x:c r="A40" s="24" t="str">
        <x:v>1</x:v>
      </x:c>
      <x:c r="B40" s="28" t="str">
        <x:v>FAKT_Sprzedaz jest osadzony w modelu danych pliku źródłowego. Nowy model wykorzystuje rzeczywiste agregaty z analiz, nie odtwarza syntetycznej tabeli transakcyjnej.</x:v>
      </x:c>
      <x:c r="C40" s="210"/>
      <x:c r="D40" s="210"/>
      <x:c r="E40" s="210"/>
      <x:c r="F40" s="210"/>
      <x:c r="G40" s="210"/>
      <x:c r="H40" s="210"/>
    </x:row>
    <x:row r="41" ht="54" customHeight="1">
      <x:c r="A41" s="27" t="str">
        <x:v>2</x:v>
      </x:c>
      <x:c r="B41" s="29" t="str">
        <x:v>Dane źródłowe uznaje się za już wyczyszczone. Wyłączane są tylko rekordy pokazane w KONTROLA_*; surowych danych nie czyści się ponownie.</x:v>
      </x:c>
      <x:c r="C41" s="210"/>
      <x:c r="D41" s="210"/>
      <x:c r="E41" s="210"/>
      <x:c r="F41" s="210"/>
      <x:c r="G41" s="210"/>
      <x:c r="H41" s="210"/>
    </x:row>
    <x:row r="42" ht="54" customHeight="1">
      <x:c r="A42" s="24" t="str">
        <x:v>3</x:v>
      </x:c>
      <x:c r="B42" s="28" t="str">
        <x:v>Źródło nie zawiera pełnej księgi OPEX, listy płac, CAPEX, należności ani zobowiązań. Te elementy są jawnymi założeniami controllingowymi i nie są prezentowane jako wykonanie księgowe.</x:v>
      </x:c>
      <x:c r="C42" s="210"/>
      <x:c r="D42" s="210"/>
      <x:c r="E42" s="210"/>
      <x:c r="F42" s="210"/>
      <x:c r="G42" s="210"/>
      <x:c r="H42" s="210"/>
    </x:row>
    <x:row r="43" ht="54" customHeight="1">
      <x:c r="A43" s="27" t="str">
        <x:v>4</x:v>
      </x:c>
      <x:c r="B43" s="29" t="str">
        <x:v>Agregaty 12 miesięcy oraz przekroje kategorii i kanałów mają różnicę zakresu 3 228,11 PLN. Nie skorygowano ani nie pominięto tej kwoty - pozostaje jako osobny wiersz poza osią miesięczną.</x:v>
      </x:c>
      <x:c r="C43" s="210"/>
      <x:c r="D43" s="210"/>
      <x:c r="E43" s="210"/>
      <x:c r="F43" s="210"/>
      <x:c r="G43" s="210"/>
      <x:c r="H43" s="210"/>
    </x:row>
    <x:row r="44" ht="54" customHeight="1">
      <x:c r="A44" s="24" t="str">
        <x:v>5</x:v>
      </x:c>
      <x:c r="B44" s="28" t="str">
        <x:v>Dashboard i ANALIZA_Zwroty nie mają identycznego zakresu kwoty zwrotów. P&amp;L korzysta ze stopy dashboardu, a analiza operacyjna zachowuje pełną tabelę powodów.</x:v>
      </x:c>
      <x:c r="C44" s="210"/>
      <x:c r="D44" s="210"/>
      <x:c r="E44" s="210"/>
      <x:c r="F44" s="210"/>
      <x:c r="G44" s="210"/>
      <x:c r="H44" s="210"/>
    </x:row>
  </x:sheetData>
  <x:mergeCells>
    <x:mergeCell ref="A1:H1"/>
    <x:mergeCell ref="A2:H2"/>
    <x:mergeCell ref="A4:H4"/>
    <x:mergeCell ref="A16:E16"/>
    <x:mergeCell ref="A30:H30"/>
    <x:mergeCell ref="A39:H39"/>
  </x:mergeCells>
  <x:pageMargins left="0.7" right="0.7" top="0.75" bottom="0.75" header="0.3" footer="0.3"/>
</x:worksheet>
</file>